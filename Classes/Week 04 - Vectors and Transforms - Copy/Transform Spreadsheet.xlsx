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checkCompatibility="1" defaultThemeVersion="202300"/>
  <mc:AlternateContent xmlns:mc="http://schemas.openxmlformats.org/markup-compatibility/2006">
    <mc:Choice Requires="x15">
      <x15ac:absPath xmlns:x15ac="http://schemas.microsoft.com/office/spreadsheetml/2010/11/ac" url="C:\_LOCAL\GitHub\DP2\Classes\Week 04 - Vectors and Transforms\"/>
    </mc:Choice>
  </mc:AlternateContent>
  <xr:revisionPtr revIDLastSave="0" documentId="13_ncr:1_{C66427D9-E44D-4B97-9C4D-D025F41D4DF3}" xr6:coauthVersionLast="47" xr6:coauthVersionMax="47" xr10:uidLastSave="{00000000-0000-0000-0000-000000000000}"/>
  <bookViews>
    <workbookView xWindow="-7370" yWindow="3320" windowWidth="18000" windowHeight="11170" xr2:uid="{BFAE6173-D820-455E-8F77-16083E87413B}"/>
  </bookViews>
  <sheets>
    <sheet name="Sheet1" sheetId="1" r:id="rId1"/>
    <sheet name="Rotations" sheetId="3" r:id="rId2"/>
    <sheet name="Perspectiv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B20" i="3"/>
  <c r="D18" i="3"/>
  <c r="E22" i="3" s="1"/>
  <c r="B18" i="3"/>
  <c r="D13" i="3"/>
  <c r="C13" i="3"/>
  <c r="D12" i="3"/>
  <c r="C12" i="3"/>
  <c r="B5" i="3"/>
  <c r="C4" i="3"/>
  <c r="C5" i="3"/>
  <c r="B4" i="3"/>
  <c r="H29" i="2"/>
  <c r="E29" i="2"/>
  <c r="N28" i="2"/>
  <c r="N26" i="2"/>
  <c r="M25" i="2" a="1"/>
  <c r="M28" i="2" s="1"/>
  <c r="J28" i="2"/>
  <c r="J27" i="2"/>
  <c r="J25" i="2" a="1"/>
  <c r="J26" i="2" s="1"/>
  <c r="H22" i="2"/>
  <c r="E22" i="2"/>
  <c r="O20" i="2"/>
  <c r="N20" i="2"/>
  <c r="M20" i="2"/>
  <c r="O18" i="2"/>
  <c r="N18" i="2"/>
  <c r="M18" i="2"/>
  <c r="M18" i="2" a="1"/>
  <c r="P21" i="2" s="1"/>
  <c r="J18" i="2" a="1"/>
  <c r="J21" i="2" s="1"/>
  <c r="H15" i="2"/>
  <c r="E15" i="2"/>
  <c r="S11" i="2" a="1"/>
  <c r="T13" i="2" s="1"/>
  <c r="N14" i="2"/>
  <c r="M14" i="2"/>
  <c r="P13" i="2"/>
  <c r="O13" i="2"/>
  <c r="M13" i="2"/>
  <c r="N12" i="2"/>
  <c r="M12" i="2"/>
  <c r="P11" i="2"/>
  <c r="O11" i="2"/>
  <c r="M11" i="2"/>
  <c r="M11" i="2" a="1"/>
  <c r="N13" i="2" s="1"/>
  <c r="J13" i="2"/>
  <c r="J12" i="2"/>
  <c r="J11" i="2"/>
  <c r="J15" i="2" s="1"/>
  <c r="J11" i="2" a="1"/>
  <c r="J14" i="2" s="1"/>
  <c r="H8" i="2"/>
  <c r="E8" i="2"/>
  <c r="M4" i="2" a="1"/>
  <c r="O6" i="2" s="1"/>
  <c r="J4" i="2" a="1"/>
  <c r="J7" i="2" s="1"/>
  <c r="H29" i="3"/>
  <c r="E29" i="3"/>
  <c r="M25" i="3" a="1"/>
  <c r="O27" i="3" s="1"/>
  <c r="J28" i="3"/>
  <c r="J25" i="3" a="1"/>
  <c r="J27" i="3" s="1"/>
  <c r="H22" i="3"/>
  <c r="H15" i="3"/>
  <c r="H8" i="3"/>
  <c r="J11" i="1" a="1"/>
  <c r="J14" i="1" s="1"/>
  <c r="H15" i="1"/>
  <c r="E15" i="1"/>
  <c r="J25" i="1" a="1"/>
  <c r="J28" i="1" s="1"/>
  <c r="H29" i="1"/>
  <c r="E29" i="1"/>
  <c r="J18" i="1" a="1"/>
  <c r="J19" i="1" s="1"/>
  <c r="H22" i="1"/>
  <c r="E22" i="1"/>
  <c r="S11" i="1" a="1"/>
  <c r="S12" i="1" s="1"/>
  <c r="M25" i="1" a="1"/>
  <c r="P25" i="1" s="1"/>
  <c r="N25" i="1"/>
  <c r="O25" i="1"/>
  <c r="N27" i="1"/>
  <c r="O27" i="1"/>
  <c r="M18" i="1" a="1"/>
  <c r="O18" i="1" s="1"/>
  <c r="N18" i="1"/>
  <c r="N20" i="1"/>
  <c r="M11" i="1" a="1"/>
  <c r="N11" i="1" s="1"/>
  <c r="M11" i="1"/>
  <c r="M13" i="1"/>
  <c r="M4" i="1" a="1"/>
  <c r="O5" i="1" s="1"/>
  <c r="E8" i="1"/>
  <c r="J4" i="1" a="1"/>
  <c r="J6" i="1" s="1"/>
  <c r="H8" i="1"/>
  <c r="J18" i="3" l="1" a="1"/>
  <c r="J20" i="3" s="1"/>
  <c r="M18" i="3" a="1"/>
  <c r="N19" i="3" s="1"/>
  <c r="M27" i="3"/>
  <c r="P27" i="3"/>
  <c r="N25" i="3"/>
  <c r="M28" i="3"/>
  <c r="P25" i="3"/>
  <c r="N28" i="3"/>
  <c r="N27" i="3"/>
  <c r="M25" i="3"/>
  <c r="J25" i="3"/>
  <c r="M26" i="3"/>
  <c r="O28" i="3"/>
  <c r="J26" i="3"/>
  <c r="N26" i="3"/>
  <c r="O26" i="3"/>
  <c r="S11" i="3" a="1"/>
  <c r="V14" i="3" s="1"/>
  <c r="M11" i="3" a="1"/>
  <c r="M13" i="3" s="1"/>
  <c r="E15" i="3"/>
  <c r="J11" i="3" a="1"/>
  <c r="J14" i="3" s="1"/>
  <c r="J4" i="3" a="1"/>
  <c r="J4" i="3" s="1"/>
  <c r="M4" i="3" a="1"/>
  <c r="N6" i="3" s="1"/>
  <c r="E8" i="3"/>
  <c r="U13" i="2"/>
  <c r="N4" i="2"/>
  <c r="M4" i="2"/>
  <c r="P6" i="2"/>
  <c r="S12" i="2"/>
  <c r="M7" i="2"/>
  <c r="P4" i="2"/>
  <c r="N7" i="2"/>
  <c r="V13" i="2"/>
  <c r="J4" i="2"/>
  <c r="M5" i="2"/>
  <c r="O7" i="2"/>
  <c r="S14" i="2"/>
  <c r="J5" i="2"/>
  <c r="N5" i="2"/>
  <c r="J6" i="2"/>
  <c r="O5" i="2"/>
  <c r="M6" i="2"/>
  <c r="U11" i="2"/>
  <c r="N6" i="2"/>
  <c r="V11" i="2"/>
  <c r="O26" i="2"/>
  <c r="O28" i="2"/>
  <c r="P26" i="2"/>
  <c r="P5" i="2"/>
  <c r="P7" i="2"/>
  <c r="O12" i="2"/>
  <c r="O14" i="2"/>
  <c r="T12" i="2"/>
  <c r="T14" i="2"/>
  <c r="J18" i="2"/>
  <c r="P18" i="2"/>
  <c r="P20" i="2"/>
  <c r="M25" i="2"/>
  <c r="M27" i="2"/>
  <c r="P12" i="2"/>
  <c r="P14" i="2"/>
  <c r="U12" i="2"/>
  <c r="U14" i="2"/>
  <c r="J19" i="2"/>
  <c r="M19" i="2"/>
  <c r="M21" i="2"/>
  <c r="N25" i="2"/>
  <c r="N27" i="2"/>
  <c r="V12" i="2"/>
  <c r="V14" i="2"/>
  <c r="J20" i="2"/>
  <c r="N19" i="2"/>
  <c r="N21" i="2"/>
  <c r="O25" i="2"/>
  <c r="O27" i="2"/>
  <c r="P28" i="2"/>
  <c r="O4" i="2"/>
  <c r="N11" i="2"/>
  <c r="S11" i="2"/>
  <c r="S13" i="2"/>
  <c r="O19" i="2"/>
  <c r="O21" i="2"/>
  <c r="J25" i="2"/>
  <c r="J29" i="2" s="1"/>
  <c r="P25" i="2"/>
  <c r="P27" i="2"/>
  <c r="T11" i="2"/>
  <c r="P19" i="2"/>
  <c r="M26" i="2"/>
  <c r="P26" i="3"/>
  <c r="P28" i="3"/>
  <c r="O25" i="3"/>
  <c r="V13" i="1"/>
  <c r="J5" i="1"/>
  <c r="J4" i="1"/>
  <c r="U13" i="1"/>
  <c r="V11" i="1"/>
  <c r="U11" i="1"/>
  <c r="J18" i="1"/>
  <c r="J21" i="1"/>
  <c r="J20" i="1"/>
  <c r="P7" i="1"/>
  <c r="O7" i="1"/>
  <c r="P5" i="1"/>
  <c r="M4" i="1"/>
  <c r="M6" i="1"/>
  <c r="O4" i="1"/>
  <c r="N4" i="1"/>
  <c r="N6" i="1"/>
  <c r="O6" i="1"/>
  <c r="P4" i="1"/>
  <c r="P6" i="1"/>
  <c r="M5" i="1"/>
  <c r="M7" i="1"/>
  <c r="N5" i="1"/>
  <c r="N7" i="1"/>
  <c r="M27" i="1"/>
  <c r="M25" i="1"/>
  <c r="T13" i="1"/>
  <c r="T11" i="1"/>
  <c r="P21" i="1"/>
  <c r="S13" i="1"/>
  <c r="S11" i="1"/>
  <c r="M20" i="1"/>
  <c r="M18" i="1"/>
  <c r="P14" i="1"/>
  <c r="P12" i="1"/>
  <c r="O14" i="1"/>
  <c r="O12" i="1"/>
  <c r="P19" i="1"/>
  <c r="N14" i="1"/>
  <c r="N12" i="1"/>
  <c r="O21" i="1"/>
  <c r="O19" i="1"/>
  <c r="P28" i="1"/>
  <c r="P26" i="1"/>
  <c r="J11" i="1"/>
  <c r="J15" i="1" s="1"/>
  <c r="J25" i="1"/>
  <c r="J29" i="1" s="1"/>
  <c r="M14" i="1"/>
  <c r="M12" i="1"/>
  <c r="N21" i="1"/>
  <c r="N19" i="1"/>
  <c r="O28" i="1"/>
  <c r="O26" i="1"/>
  <c r="V14" i="1"/>
  <c r="V12" i="1"/>
  <c r="J12" i="1"/>
  <c r="J26" i="1"/>
  <c r="P13" i="1"/>
  <c r="P11" i="1"/>
  <c r="M21" i="1"/>
  <c r="M19" i="1"/>
  <c r="N28" i="1"/>
  <c r="N26" i="1"/>
  <c r="U14" i="1"/>
  <c r="U12" i="1"/>
  <c r="J7" i="1"/>
  <c r="J13" i="1"/>
  <c r="J27" i="1"/>
  <c r="O13" i="1"/>
  <c r="O11" i="1"/>
  <c r="P20" i="1"/>
  <c r="P18" i="1"/>
  <c r="M28" i="1"/>
  <c r="M26" i="1"/>
  <c r="T14" i="1"/>
  <c r="T12" i="1"/>
  <c r="N13" i="1"/>
  <c r="O20" i="1"/>
  <c r="P27" i="1"/>
  <c r="S14" i="1"/>
  <c r="J21" i="3" l="1"/>
  <c r="O20" i="3"/>
  <c r="M19" i="3"/>
  <c r="P18" i="3"/>
  <c r="N18" i="3"/>
  <c r="P19" i="3"/>
  <c r="M20" i="3"/>
  <c r="P20" i="3"/>
  <c r="P21" i="3"/>
  <c r="J18" i="3"/>
  <c r="O21" i="3"/>
  <c r="M21" i="3"/>
  <c r="N20" i="3"/>
  <c r="M18" i="3"/>
  <c r="J19" i="3"/>
  <c r="N21" i="3"/>
  <c r="O19" i="3"/>
  <c r="O18" i="3"/>
  <c r="T12" i="3"/>
  <c r="U14" i="3"/>
  <c r="S14" i="3"/>
  <c r="V11" i="3"/>
  <c r="U12" i="3"/>
  <c r="T14" i="3"/>
  <c r="S12" i="3"/>
  <c r="J29" i="3"/>
  <c r="J7" i="3"/>
  <c r="J6" i="3"/>
  <c r="T13" i="3"/>
  <c r="U11" i="3"/>
  <c r="S11" i="3"/>
  <c r="V12" i="3"/>
  <c r="U13" i="3"/>
  <c r="S13" i="3"/>
  <c r="V13" i="3"/>
  <c r="J5" i="3"/>
  <c r="J8" i="3" s="1"/>
  <c r="T11" i="3"/>
  <c r="N14" i="3"/>
  <c r="J12" i="3"/>
  <c r="O14" i="3"/>
  <c r="N12" i="3"/>
  <c r="J13" i="3"/>
  <c r="N13" i="3"/>
  <c r="M11" i="3"/>
  <c r="O11" i="3"/>
  <c r="J11" i="3"/>
  <c r="O12" i="3"/>
  <c r="P11" i="3"/>
  <c r="P14" i="3"/>
  <c r="M14" i="3"/>
  <c r="N11" i="3"/>
  <c r="P12" i="3"/>
  <c r="M12" i="3"/>
  <c r="P13" i="3"/>
  <c r="O13" i="3"/>
  <c r="M7" i="3"/>
  <c r="M5" i="3"/>
  <c r="P6" i="3"/>
  <c r="P7" i="3"/>
  <c r="P5" i="3"/>
  <c r="N7" i="3"/>
  <c r="O7" i="3"/>
  <c r="M6" i="3"/>
  <c r="N5" i="3"/>
  <c r="M4" i="3"/>
  <c r="O6" i="3"/>
  <c r="P4" i="3"/>
  <c r="O5" i="3"/>
  <c r="O4" i="3"/>
  <c r="N4" i="3"/>
  <c r="J8" i="2"/>
  <c r="Y11" i="2" a="1"/>
  <c r="S18" i="2" a="1"/>
  <c r="J22" i="2"/>
  <c r="J8" i="1"/>
  <c r="S18" i="1" a="1"/>
  <c r="Y11" i="1" a="1"/>
  <c r="J22" i="1"/>
  <c r="J22" i="3" l="1"/>
  <c r="S18" i="3" a="1"/>
  <c r="S21" i="3" s="1"/>
  <c r="Y11" i="3" a="1"/>
  <c r="AA14" i="3" s="1"/>
  <c r="J15" i="3"/>
  <c r="U21" i="2"/>
  <c r="U19" i="2"/>
  <c r="T18" i="2"/>
  <c r="S20" i="2"/>
  <c r="T21" i="2"/>
  <c r="T19" i="2"/>
  <c r="V21" i="2"/>
  <c r="S21" i="2"/>
  <c r="S19" i="2"/>
  <c r="V19" i="2"/>
  <c r="V20" i="2"/>
  <c r="V18" i="2"/>
  <c r="T20" i="2"/>
  <c r="S18" i="2"/>
  <c r="U20" i="2"/>
  <c r="U18" i="2"/>
  <c r="Y13" i="2"/>
  <c r="Y11" i="2"/>
  <c r="AA13" i="2"/>
  <c r="Z13" i="2"/>
  <c r="Z11" i="2"/>
  <c r="AB14" i="2"/>
  <c r="AB12" i="2"/>
  <c r="AA14" i="2"/>
  <c r="AA12" i="2"/>
  <c r="AA11" i="2"/>
  <c r="Z14" i="2"/>
  <c r="Z12" i="2"/>
  <c r="AB13" i="2"/>
  <c r="AB11" i="2"/>
  <c r="Y14" i="2"/>
  <c r="Y12" i="2"/>
  <c r="Y14" i="1"/>
  <c r="Y12" i="1"/>
  <c r="AA13" i="1"/>
  <c r="AA11" i="1"/>
  <c r="AB13" i="1"/>
  <c r="AB11" i="1"/>
  <c r="Y13" i="1"/>
  <c r="Y11" i="1"/>
  <c r="AB14" i="1"/>
  <c r="AB12" i="1"/>
  <c r="Z13" i="1"/>
  <c r="Z11" i="1"/>
  <c r="Z12" i="1"/>
  <c r="AA14" i="1"/>
  <c r="Z14" i="1"/>
  <c r="AA12" i="1"/>
  <c r="T21" i="1"/>
  <c r="T19" i="1"/>
  <c r="V20" i="1"/>
  <c r="V18" i="1"/>
  <c r="S21" i="1"/>
  <c r="S19" i="1"/>
  <c r="U20" i="1"/>
  <c r="U18" i="1"/>
  <c r="T20" i="1"/>
  <c r="T18" i="1"/>
  <c r="S20" i="1"/>
  <c r="S18" i="1"/>
  <c r="V21" i="1"/>
  <c r="V19" i="1"/>
  <c r="U19" i="1"/>
  <c r="U21" i="1"/>
  <c r="U19" i="3" l="1"/>
  <c r="T21" i="3"/>
  <c r="U21" i="3"/>
  <c r="V18" i="3"/>
  <c r="V19" i="3"/>
  <c r="T19" i="3"/>
  <c r="V21" i="3"/>
  <c r="U18" i="3"/>
  <c r="S18" i="3"/>
  <c r="U20" i="3"/>
  <c r="S20" i="3"/>
  <c r="V20" i="3"/>
  <c r="T18" i="3"/>
  <c r="S19" i="3"/>
  <c r="T20" i="3"/>
  <c r="Y12" i="3"/>
  <c r="AA11" i="3"/>
  <c r="AB11" i="3"/>
  <c r="AA12" i="3"/>
  <c r="Z13" i="3"/>
  <c r="Z14" i="3"/>
  <c r="Y13" i="3"/>
  <c r="Y14" i="3"/>
  <c r="AB12" i="3"/>
  <c r="Y11" i="3"/>
  <c r="Z12" i="3"/>
  <c r="AB13" i="3"/>
  <c r="AB14" i="3"/>
  <c r="AA13" i="3"/>
  <c r="Z11" i="3"/>
  <c r="S25" i="2" a="1"/>
  <c r="Y18" i="2" a="1"/>
  <c r="Y18" i="1" a="1"/>
  <c r="S25" i="1" a="1"/>
  <c r="Y18" i="3" l="1" a="1"/>
  <c r="AB20" i="3" s="1"/>
  <c r="S25" i="3" a="1"/>
  <c r="S27" i="3" s="1"/>
  <c r="Z21" i="2"/>
  <c r="Z19" i="2"/>
  <c r="AA19" i="2"/>
  <c r="Y21" i="2"/>
  <c r="Y19" i="2"/>
  <c r="AB20" i="2"/>
  <c r="AB18" i="2"/>
  <c r="Y20" i="2"/>
  <c r="Y18" i="2"/>
  <c r="AA20" i="2"/>
  <c r="AA18" i="2"/>
  <c r="Z20" i="2"/>
  <c r="Z18" i="2"/>
  <c r="AA21" i="2"/>
  <c r="AB21" i="2"/>
  <c r="AB19" i="2"/>
  <c r="V27" i="2"/>
  <c r="V25" i="2"/>
  <c r="U27" i="2"/>
  <c r="U25" i="2"/>
  <c r="S26" i="2"/>
  <c r="T27" i="2"/>
  <c r="T25" i="2"/>
  <c r="S28" i="2"/>
  <c r="S27" i="2"/>
  <c r="S25" i="2"/>
  <c r="U26" i="2"/>
  <c r="V28" i="2"/>
  <c r="V26" i="2"/>
  <c r="U28" i="2"/>
  <c r="T28" i="2"/>
  <c r="T26" i="2"/>
  <c r="V28" i="1"/>
  <c r="V26" i="1"/>
  <c r="T28" i="1"/>
  <c r="T26" i="1"/>
  <c r="U28" i="1"/>
  <c r="U26" i="1"/>
  <c r="S28" i="1"/>
  <c r="S26" i="1"/>
  <c r="V27" i="1"/>
  <c r="U27" i="1"/>
  <c r="U25" i="1"/>
  <c r="V25" i="1"/>
  <c r="T27" i="1"/>
  <c r="S27" i="1"/>
  <c r="T25" i="1"/>
  <c r="S25" i="1"/>
  <c r="AA21" i="1"/>
  <c r="AA19" i="1"/>
  <c r="Y21" i="1"/>
  <c r="Z21" i="1"/>
  <c r="Z19" i="1"/>
  <c r="Y19" i="1"/>
  <c r="AB20" i="1"/>
  <c r="AB18" i="1"/>
  <c r="AA20" i="1"/>
  <c r="AA18" i="1"/>
  <c r="Z20" i="1"/>
  <c r="Z18" i="1"/>
  <c r="AB19" i="1"/>
  <c r="Y18" i="1"/>
  <c r="AB21" i="1"/>
  <c r="Y20" i="1"/>
  <c r="Y25" i="1" l="1" a="1"/>
  <c r="Y26" i="1" s="1"/>
  <c r="T28" i="3"/>
  <c r="U27" i="3"/>
  <c r="Z19" i="3"/>
  <c r="Y19" i="3"/>
  <c r="Z20" i="3"/>
  <c r="AB18" i="3"/>
  <c r="Z21" i="3"/>
  <c r="Y21" i="3"/>
  <c r="AA19" i="3"/>
  <c r="AA21" i="3"/>
  <c r="AB19" i="3"/>
  <c r="AB21" i="3"/>
  <c r="AA18" i="3"/>
  <c r="Y18" i="3"/>
  <c r="AA20" i="3"/>
  <c r="Y20" i="3"/>
  <c r="Z18" i="3"/>
  <c r="V26" i="3"/>
  <c r="V28" i="3"/>
  <c r="V25" i="3"/>
  <c r="S25" i="3"/>
  <c r="V27" i="3"/>
  <c r="T25" i="3"/>
  <c r="S26" i="3"/>
  <c r="S28" i="3"/>
  <c r="T26" i="3"/>
  <c r="T27" i="3"/>
  <c r="U26" i="3"/>
  <c r="U25" i="3"/>
  <c r="U28" i="3"/>
  <c r="Y25" i="2" a="1"/>
  <c r="AA25" i="1" l="1"/>
  <c r="Z27" i="1"/>
  <c r="AB25" i="1"/>
  <c r="AA28" i="1"/>
  <c r="AB26" i="1"/>
  <c r="AB28" i="1"/>
  <c r="AB27" i="1"/>
  <c r="AA26" i="1"/>
  <c r="Y25" i="1"/>
  <c r="Y28" i="1"/>
  <c r="Y27" i="1"/>
  <c r="Z25" i="1"/>
  <c r="Z26" i="1"/>
  <c r="AA27" i="1"/>
  <c r="Z28" i="1"/>
  <c r="Y25" i="3" a="1"/>
  <c r="Y27" i="3" s="1"/>
  <c r="AA27" i="2"/>
  <c r="AA25" i="2"/>
  <c r="AB27" i="2"/>
  <c r="Z27" i="2"/>
  <c r="Z25" i="2"/>
  <c r="Y27" i="2"/>
  <c r="Y25" i="2"/>
  <c r="Z26" i="2"/>
  <c r="AB28" i="2"/>
  <c r="AB26" i="2"/>
  <c r="AB25" i="2"/>
  <c r="AA28" i="2"/>
  <c r="AA26" i="2"/>
  <c r="Z28" i="2"/>
  <c r="Y28" i="2"/>
  <c r="Y26" i="2"/>
  <c r="Z27" i="3"/>
  <c r="Y25" i="3"/>
  <c r="AA28" i="3"/>
  <c r="AA26" i="3"/>
  <c r="Z25" i="3"/>
  <c r="AB28" i="3"/>
  <c r="AB26" i="3"/>
  <c r="AA25" i="3"/>
  <c r="Z28" i="3"/>
  <c r="Z26" i="3"/>
  <c r="Y28" i="3"/>
  <c r="Y26" i="3"/>
  <c r="AB27" i="3"/>
  <c r="AB25" i="3"/>
  <c r="AA27" i="3"/>
</calcChain>
</file>

<file path=xl/sharedStrings.xml><?xml version="1.0" encoding="utf-8"?>
<sst xmlns="http://schemas.openxmlformats.org/spreadsheetml/2006/main" count="126" uniqueCount="17">
  <si>
    <t>A</t>
  </si>
  <si>
    <t>x</t>
  </si>
  <si>
    <t>=</t>
  </si>
  <si>
    <t>determ</t>
  </si>
  <si>
    <t>Multiplications</t>
  </si>
  <si>
    <t>Identity</t>
  </si>
  <si>
    <t>Inverses</t>
  </si>
  <si>
    <t>Inverse of Multiplication</t>
  </si>
  <si>
    <t>Base Matrix</t>
  </si>
  <si>
    <t>v</t>
  </si>
  <si>
    <t>A x v</t>
  </si>
  <si>
    <t>l</t>
  </si>
  <si>
    <t>Example</t>
  </si>
  <si>
    <t>Rotation</t>
  </si>
  <si>
    <t>around Z</t>
  </si>
  <si>
    <t>around X</t>
  </si>
  <si>
    <t>around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</si>
</sst>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0" xfId="0" applyFont="1"/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5" xfId="0" applyFont="1" applyBorder="1"/>
    <xf numFmtId="0" fontId="3" fillId="2" borderId="0" xfId="0" applyFont="1" applyFill="1"/>
    <xf numFmtId="0" fontId="3" fillId="2" borderId="5" xfId="0" applyFont="1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0" xfId="0" applyFill="1"/>
    <xf numFmtId="0" fontId="0" fillId="2" borderId="5" xfId="0" applyFill="1" applyBorder="1"/>
    <xf numFmtId="0" fontId="0" fillId="2" borderId="4" xfId="0" applyFill="1" applyBorder="1"/>
    <xf numFmtId="0" fontId="0" fillId="2" borderId="7" xfId="0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0" xfId="0" applyFill="1"/>
    <xf numFmtId="0" fontId="0" fillId="3" borderId="5" xfId="0" applyFill="1" applyBorder="1"/>
    <xf numFmtId="0" fontId="0" fillId="3" borderId="4" xfId="0" applyFill="1" applyBorder="1"/>
    <xf numFmtId="0" fontId="0" fillId="3" borderId="7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3" xfId="0" applyFont="1" applyBorder="1"/>
    <xf numFmtId="0" fontId="6" fillId="0" borderId="4" xfId="0" applyFont="1" applyBorder="1"/>
    <xf numFmtId="0" fontId="6" fillId="0" borderId="0" xfId="0" applyFont="1"/>
    <xf numFmtId="0" fontId="8" fillId="0" borderId="3" xfId="0" applyFont="1" applyBorder="1"/>
    <xf numFmtId="0" fontId="8" fillId="0" borderId="4" xfId="0" applyFont="1" applyBorder="1"/>
    <xf numFmtId="0" fontId="8" fillId="0" borderId="0" xfId="0" applyFont="1"/>
    <xf numFmtId="0" fontId="3" fillId="0" borderId="12" xfId="0" applyFont="1" applyBorder="1"/>
    <xf numFmtId="0" fontId="3" fillId="0" borderId="13" xfId="0" applyFont="1" applyBorder="1"/>
    <xf numFmtId="0" fontId="0" fillId="0" borderId="12" xfId="0" applyBorder="1"/>
    <xf numFmtId="0" fontId="3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6" borderId="11" xfId="0" applyFont="1" applyFill="1" applyBorder="1"/>
    <xf numFmtId="0" fontId="2" fillId="0" borderId="2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518A-E9B1-4465-81F1-4BEBDB6960E6}">
  <sheetPr codeName="Sheet1"/>
  <dimension ref="A2:AH30"/>
  <sheetViews>
    <sheetView tabSelected="1" zoomScale="190" zoomScaleNormal="190" workbookViewId="0">
      <selection activeCell="H5" sqref="H5"/>
    </sheetView>
  </sheetViews>
  <sheetFormatPr defaultRowHeight="13" x14ac:dyDescent="0.3"/>
  <cols>
    <col min="1" max="1" width="9.1796875" style="39" customWidth="1"/>
    <col min="2" max="5" width="4.7265625" customWidth="1"/>
    <col min="6" max="6" width="2.7265625" style="7" customWidth="1"/>
    <col min="7" max="7" width="2.7265625" style="38" customWidth="1"/>
    <col min="8" max="8" width="4.7265625" customWidth="1"/>
    <col min="9" max="9" width="2.7265625" style="35" customWidth="1"/>
    <col min="10" max="10" width="6" customWidth="1"/>
    <col min="11" max="11" width="2.7265625" style="7" customWidth="1"/>
    <col min="12" max="12" width="2.7265625" style="21" customWidth="1"/>
    <col min="13" max="16" width="4.7265625" style="21" customWidth="1"/>
    <col min="17" max="17" width="2.7265625" style="22" customWidth="1"/>
    <col min="18" max="22" width="4.7265625" style="15" customWidth="1"/>
    <col min="23" max="23" width="4.7265625" style="16" customWidth="1"/>
    <col min="24" max="28" width="4.7265625" style="15" customWidth="1"/>
    <col min="29" max="29" width="4.81640625" style="16" customWidth="1"/>
  </cols>
  <sheetData>
    <row r="2" spans="1:29" s="3" customFormat="1" ht="13.5" thickBot="1" x14ac:dyDescent="0.35">
      <c r="A2" s="39"/>
      <c r="B2" s="54" t="s">
        <v>8</v>
      </c>
      <c r="C2" s="54"/>
      <c r="D2" s="54"/>
      <c r="E2" s="54"/>
      <c r="F2" s="10"/>
      <c r="H2" s="3" t="s">
        <v>12</v>
      </c>
      <c r="I2" s="32"/>
      <c r="K2" s="10"/>
      <c r="L2" s="55" t="s">
        <v>6</v>
      </c>
      <c r="M2" s="56"/>
      <c r="N2" s="56"/>
      <c r="O2" s="56"/>
      <c r="P2" s="56"/>
      <c r="Q2" s="57"/>
      <c r="R2" s="11"/>
      <c r="S2" s="11" t="s">
        <v>4</v>
      </c>
      <c r="T2" s="11"/>
      <c r="U2" s="11"/>
      <c r="V2" s="11"/>
      <c r="W2" s="12"/>
      <c r="X2" s="11" t="s">
        <v>7</v>
      </c>
      <c r="Y2" s="11"/>
      <c r="Z2" s="11"/>
      <c r="AA2" s="11"/>
      <c r="AB2" s="11"/>
      <c r="AC2" s="12"/>
    </row>
    <row r="3" spans="1:29" s="4" customFormat="1" ht="16" thickBot="1" x14ac:dyDescent="0.4">
      <c r="A3" s="40" t="s">
        <v>5</v>
      </c>
      <c r="B3" s="53" t="s">
        <v>0</v>
      </c>
      <c r="C3" s="53"/>
      <c r="D3" s="53"/>
      <c r="E3" s="53"/>
      <c r="F3" s="8"/>
      <c r="G3" s="36"/>
      <c r="H3" s="5" t="s">
        <v>9</v>
      </c>
      <c r="I3" s="33"/>
      <c r="J3" s="5" t="s">
        <v>10</v>
      </c>
      <c r="K3" s="8"/>
      <c r="L3" s="19"/>
      <c r="M3" s="19"/>
      <c r="N3" s="19"/>
      <c r="O3" s="19"/>
      <c r="P3" s="19"/>
      <c r="Q3" s="20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4"/>
    </row>
    <row r="4" spans="1:29" x14ac:dyDescent="0.3">
      <c r="B4" s="43">
        <v>1</v>
      </c>
      <c r="C4" s="44">
        <v>0</v>
      </c>
      <c r="D4" s="45">
        <v>0</v>
      </c>
      <c r="E4" s="26">
        <v>0</v>
      </c>
      <c r="G4" s="58" t="s">
        <v>1</v>
      </c>
      <c r="H4" s="1">
        <v>1</v>
      </c>
      <c r="I4" s="59" t="s">
        <v>2</v>
      </c>
      <c r="J4" s="1">
        <f t="array" ref="J4:J7">MMULT(B4:E7,H4:H7)</f>
        <v>1</v>
      </c>
      <c r="M4" s="43">
        <f t="array" ref="M4:P7">MINVERSE(B4:E7)</f>
        <v>1</v>
      </c>
      <c r="N4" s="44">
        <v>0</v>
      </c>
      <c r="O4" s="45">
        <v>0</v>
      </c>
      <c r="P4" s="26">
        <v>0</v>
      </c>
    </row>
    <row r="5" spans="1:29" x14ac:dyDescent="0.3">
      <c r="B5" s="46">
        <v>0.5</v>
      </c>
      <c r="C5" s="47">
        <v>1</v>
      </c>
      <c r="D5" s="48">
        <v>0</v>
      </c>
      <c r="E5" s="27">
        <v>0</v>
      </c>
      <c r="G5" s="58"/>
      <c r="H5" s="2">
        <v>1</v>
      </c>
      <c r="I5" s="59"/>
      <c r="J5" s="2">
        <v>1.5</v>
      </c>
      <c r="M5" s="46">
        <v>-0.5</v>
      </c>
      <c r="N5" s="47">
        <v>1</v>
      </c>
      <c r="O5" s="48">
        <v>0</v>
      </c>
      <c r="P5" s="27">
        <v>0</v>
      </c>
    </row>
    <row r="6" spans="1:29" ht="13.5" thickBot="1" x14ac:dyDescent="0.35">
      <c r="B6" s="49">
        <v>0</v>
      </c>
      <c r="C6" s="50">
        <v>0</v>
      </c>
      <c r="D6" s="51">
        <v>1</v>
      </c>
      <c r="E6" s="27">
        <v>0</v>
      </c>
      <c r="G6" s="58"/>
      <c r="H6" s="2">
        <v>0</v>
      </c>
      <c r="I6" s="59"/>
      <c r="J6" s="2">
        <v>0</v>
      </c>
      <c r="M6" s="49">
        <v>0</v>
      </c>
      <c r="N6" s="50">
        <v>0</v>
      </c>
      <c r="O6" s="51">
        <v>1</v>
      </c>
      <c r="P6" s="27">
        <v>0</v>
      </c>
    </row>
    <row r="7" spans="1:29" ht="13.5" thickBot="1" x14ac:dyDescent="0.35">
      <c r="B7" s="28">
        <v>0</v>
      </c>
      <c r="C7" s="29">
        <v>0</v>
      </c>
      <c r="D7" s="29">
        <v>0</v>
      </c>
      <c r="E7" s="25">
        <v>1</v>
      </c>
      <c r="G7" s="58"/>
      <c r="H7" s="28">
        <v>0</v>
      </c>
      <c r="I7" s="59"/>
      <c r="J7" s="30">
        <v>0</v>
      </c>
      <c r="M7" s="28">
        <v>0</v>
      </c>
      <c r="N7" s="29">
        <v>0</v>
      </c>
      <c r="O7" s="29">
        <v>0</v>
      </c>
      <c r="P7" s="25">
        <v>1</v>
      </c>
    </row>
    <row r="8" spans="1:29" x14ac:dyDescent="0.3">
      <c r="D8" t="s">
        <v>3</v>
      </c>
      <c r="E8" s="3">
        <f>MDETERM(B4:E7)</f>
        <v>1</v>
      </c>
      <c r="G8" s="31" t="s">
        <v>11</v>
      </c>
      <c r="H8" s="3">
        <f>SQRT(H4*H4+H5*H5+H6*H6)</f>
        <v>1.4142135623730951</v>
      </c>
      <c r="I8" s="31" t="s">
        <v>11</v>
      </c>
      <c r="J8" s="3">
        <f>SQRT(J4*J4+J5*J5+J6*J6)</f>
        <v>1.8027756377319946</v>
      </c>
    </row>
    <row r="9" spans="1:29" ht="7" customHeight="1" thickBot="1" x14ac:dyDescent="0.35">
      <c r="I9" s="32"/>
    </row>
    <row r="10" spans="1:29" s="4" customFormat="1" ht="16" thickBot="1" x14ac:dyDescent="0.4">
      <c r="A10" s="40" t="s">
        <v>5</v>
      </c>
      <c r="B10" s="53" t="s">
        <v>0</v>
      </c>
      <c r="C10" s="53"/>
      <c r="D10" s="53"/>
      <c r="E10" s="53"/>
      <c r="F10" s="8"/>
      <c r="G10" s="36"/>
      <c r="H10" s="5" t="s">
        <v>9</v>
      </c>
      <c r="I10" s="33"/>
      <c r="J10" s="5" t="s">
        <v>10</v>
      </c>
      <c r="K10" s="8"/>
      <c r="L10" s="19"/>
      <c r="M10" s="19"/>
      <c r="N10" s="19"/>
      <c r="O10" s="19"/>
      <c r="P10" s="19"/>
      <c r="Q10" s="20"/>
      <c r="R10" s="13"/>
      <c r="S10" s="13"/>
      <c r="T10" s="13"/>
      <c r="U10" s="13"/>
      <c r="V10" s="13"/>
      <c r="W10" s="14"/>
      <c r="X10" s="13"/>
      <c r="Y10" s="13"/>
      <c r="Z10" s="13"/>
      <c r="AA10" s="13"/>
      <c r="AB10" s="13"/>
      <c r="AC10" s="14"/>
    </row>
    <row r="11" spans="1:29" x14ac:dyDescent="0.3">
      <c r="B11" s="43">
        <v>1</v>
      </c>
      <c r="C11" s="44">
        <v>0</v>
      </c>
      <c r="D11" s="45">
        <v>0</v>
      </c>
      <c r="E11" s="26">
        <v>0</v>
      </c>
      <c r="G11" s="58" t="s">
        <v>1</v>
      </c>
      <c r="H11" s="1">
        <v>1</v>
      </c>
      <c r="I11" s="59" t="s">
        <v>2</v>
      </c>
      <c r="J11" s="1">
        <f t="array" ref="J11:J14">MMULT(B11:E14,H11:H14)</f>
        <v>1</v>
      </c>
      <c r="M11" s="43">
        <f t="array" ref="M11:P14">MINVERSE(B11:E14)</f>
        <v>1</v>
      </c>
      <c r="N11" s="44">
        <v>0</v>
      </c>
      <c r="O11" s="45">
        <v>0</v>
      </c>
      <c r="P11" s="26">
        <v>0</v>
      </c>
      <c r="S11" s="43">
        <f t="array" ref="S11:V14">MMULT(B11:E14,B4:E7)</f>
        <v>1</v>
      </c>
      <c r="T11" s="44">
        <v>0</v>
      </c>
      <c r="U11" s="45">
        <v>0</v>
      </c>
      <c r="V11" s="26">
        <v>0</v>
      </c>
      <c r="Y11" s="43">
        <f t="array" ref="Y11:AB14">MINVERSE(S11:V14)</f>
        <v>1</v>
      </c>
      <c r="Z11" s="44">
        <v>0</v>
      </c>
      <c r="AA11" s="45">
        <v>0</v>
      </c>
      <c r="AB11" s="26">
        <v>0</v>
      </c>
    </row>
    <row r="12" spans="1:29" x14ac:dyDescent="0.3">
      <c r="B12" s="46">
        <v>0</v>
      </c>
      <c r="C12" s="47">
        <v>1</v>
      </c>
      <c r="D12" s="48">
        <v>0</v>
      </c>
      <c r="E12" s="27">
        <v>0</v>
      </c>
      <c r="G12" s="58"/>
      <c r="H12" s="2">
        <v>1</v>
      </c>
      <c r="I12" s="59"/>
      <c r="J12" s="2">
        <v>1</v>
      </c>
      <c r="M12" s="46">
        <v>0</v>
      </c>
      <c r="N12" s="47">
        <v>1</v>
      </c>
      <c r="O12" s="48">
        <v>0</v>
      </c>
      <c r="P12" s="27">
        <v>0</v>
      </c>
      <c r="S12" s="46">
        <v>0.5</v>
      </c>
      <c r="T12" s="47">
        <v>1</v>
      </c>
      <c r="U12" s="48">
        <v>0</v>
      </c>
      <c r="V12" s="27">
        <v>0</v>
      </c>
      <c r="Y12" s="46">
        <v>-0.5</v>
      </c>
      <c r="Z12" s="47">
        <v>1</v>
      </c>
      <c r="AA12" s="48">
        <v>0</v>
      </c>
      <c r="AB12" s="27">
        <v>0</v>
      </c>
    </row>
    <row r="13" spans="1:29" ht="13.5" thickBot="1" x14ac:dyDescent="0.35">
      <c r="B13" s="49">
        <v>0</v>
      </c>
      <c r="C13" s="50">
        <v>0</v>
      </c>
      <c r="D13" s="51">
        <v>1</v>
      </c>
      <c r="E13" s="27">
        <v>0</v>
      </c>
      <c r="G13" s="58"/>
      <c r="H13" s="2">
        <v>1</v>
      </c>
      <c r="I13" s="59"/>
      <c r="J13" s="2">
        <v>1</v>
      </c>
      <c r="M13" s="49">
        <v>0</v>
      </c>
      <c r="N13" s="50">
        <v>0</v>
      </c>
      <c r="O13" s="51">
        <v>1</v>
      </c>
      <c r="P13" s="27">
        <v>0</v>
      </c>
      <c r="S13" s="49">
        <v>0</v>
      </c>
      <c r="T13" s="50">
        <v>0</v>
      </c>
      <c r="U13" s="51">
        <v>1</v>
      </c>
      <c r="V13" s="27">
        <v>0</v>
      </c>
      <c r="Y13" s="49">
        <v>0</v>
      </c>
      <c r="Z13" s="50">
        <v>0</v>
      </c>
      <c r="AA13" s="51">
        <v>1</v>
      </c>
      <c r="AB13" s="27">
        <v>0</v>
      </c>
    </row>
    <row r="14" spans="1:29" ht="13.5" thickBot="1" x14ac:dyDescent="0.35">
      <c r="B14" s="28">
        <v>0</v>
      </c>
      <c r="C14" s="29">
        <v>0</v>
      </c>
      <c r="D14" s="29">
        <v>0</v>
      </c>
      <c r="E14" s="25">
        <v>1</v>
      </c>
      <c r="G14" s="58"/>
      <c r="H14" s="28">
        <v>0</v>
      </c>
      <c r="I14" s="59"/>
      <c r="J14" s="30">
        <v>0</v>
      </c>
      <c r="M14" s="28">
        <v>0</v>
      </c>
      <c r="N14" s="29">
        <v>0</v>
      </c>
      <c r="O14" s="29">
        <v>0</v>
      </c>
      <c r="P14" s="25">
        <v>1</v>
      </c>
      <c r="S14" s="28">
        <v>0</v>
      </c>
      <c r="T14" s="29">
        <v>0</v>
      </c>
      <c r="U14" s="29">
        <v>0</v>
      </c>
      <c r="V14" s="25">
        <v>1</v>
      </c>
      <c r="Y14" s="28">
        <v>0</v>
      </c>
      <c r="Z14" s="29">
        <v>0</v>
      </c>
      <c r="AA14" s="29">
        <v>0</v>
      </c>
      <c r="AB14" s="25">
        <v>1</v>
      </c>
    </row>
    <row r="15" spans="1:29" x14ac:dyDescent="0.3">
      <c r="D15" t="s">
        <v>3</v>
      </c>
      <c r="E15" s="3">
        <f>MDETERM(B11:E14)</f>
        <v>1</v>
      </c>
      <c r="G15" s="31" t="s">
        <v>11</v>
      </c>
      <c r="H15" s="3">
        <f>SQRT(H11*H11+H12*H12+H13*H13)</f>
        <v>1.7320508075688772</v>
      </c>
      <c r="I15" s="31" t="s">
        <v>11</v>
      </c>
      <c r="J15" s="3">
        <f>SQRT(J11*J11+J12*J12+J13*J13)</f>
        <v>1.7320508075688772</v>
      </c>
    </row>
    <row r="16" spans="1:29" s="6" customFormat="1" ht="7" customHeight="1" thickBot="1" x14ac:dyDescent="0.35">
      <c r="A16" s="42"/>
      <c r="F16" s="9"/>
      <c r="G16" s="37"/>
      <c r="I16" s="34"/>
      <c r="K16" s="9"/>
      <c r="L16" s="23"/>
      <c r="M16" s="23"/>
      <c r="N16" s="23"/>
      <c r="O16" s="23"/>
      <c r="P16" s="23"/>
      <c r="Q16" s="24"/>
      <c r="R16" s="17"/>
      <c r="S16" s="17"/>
      <c r="T16" s="17"/>
      <c r="U16" s="17"/>
      <c r="V16" s="17"/>
      <c r="W16" s="18"/>
      <c r="X16" s="17"/>
      <c r="Y16" s="17"/>
      <c r="Z16" s="17"/>
      <c r="AA16" s="17"/>
      <c r="AB16" s="17"/>
      <c r="AC16" s="18"/>
    </row>
    <row r="17" spans="1:34" s="4" customFormat="1" ht="16" thickBot="1" x14ac:dyDescent="0.4">
      <c r="A17" s="40" t="s">
        <v>5</v>
      </c>
      <c r="B17" s="53" t="s">
        <v>0</v>
      </c>
      <c r="C17" s="53"/>
      <c r="D17" s="53"/>
      <c r="E17" s="53"/>
      <c r="F17" s="8"/>
      <c r="G17" s="36"/>
      <c r="H17" s="5" t="s">
        <v>9</v>
      </c>
      <c r="I17" s="33"/>
      <c r="J17" s="5" t="s">
        <v>10</v>
      </c>
      <c r="K17" s="8"/>
      <c r="L17" s="19"/>
      <c r="M17" s="19"/>
      <c r="N17" s="19"/>
      <c r="O17" s="19"/>
      <c r="P17" s="19"/>
      <c r="Q17" s="20"/>
      <c r="R17" s="13"/>
      <c r="S17" s="13"/>
      <c r="T17" s="13"/>
      <c r="U17" s="13"/>
      <c r="V17" s="13"/>
      <c r="W17" s="14"/>
      <c r="X17" s="13"/>
      <c r="Y17" s="13"/>
      <c r="Z17" s="13"/>
      <c r="AA17" s="13"/>
      <c r="AB17" s="13"/>
      <c r="AC17" s="14"/>
    </row>
    <row r="18" spans="1:34" x14ac:dyDescent="0.3">
      <c r="B18" s="43">
        <v>1</v>
      </c>
      <c r="C18" s="44">
        <v>0</v>
      </c>
      <c r="D18" s="45">
        <v>0</v>
      </c>
      <c r="E18" s="26">
        <v>0</v>
      </c>
      <c r="G18" s="58" t="s">
        <v>1</v>
      </c>
      <c r="H18" s="1">
        <v>1</v>
      </c>
      <c r="I18" s="59" t="s">
        <v>2</v>
      </c>
      <c r="J18" s="1">
        <f t="array" ref="J18:J21">MMULT(B18:E21,H18:H21)</f>
        <v>1</v>
      </c>
      <c r="M18" s="43">
        <f t="array" ref="M18:P21">MINVERSE(B18:E21)</f>
        <v>1</v>
      </c>
      <c r="N18" s="44">
        <v>0</v>
      </c>
      <c r="O18" s="45">
        <v>0</v>
      </c>
      <c r="P18" s="26">
        <v>0</v>
      </c>
      <c r="S18" s="43">
        <f t="array" ref="S18:V21">MMULT(B18:E21,S11:V14)</f>
        <v>1</v>
      </c>
      <c r="T18" s="44">
        <v>0</v>
      </c>
      <c r="U18" s="45">
        <v>0</v>
      </c>
      <c r="V18" s="26">
        <v>0</v>
      </c>
      <c r="Y18" s="43">
        <f t="array" ref="Y18:AB21">MINVERSE(S18:V21)</f>
        <v>1</v>
      </c>
      <c r="Z18" s="44">
        <v>0</v>
      </c>
      <c r="AA18" s="45">
        <v>0</v>
      </c>
      <c r="AB18" s="26">
        <v>0</v>
      </c>
      <c r="AH18" s="3"/>
    </row>
    <row r="19" spans="1:34" x14ac:dyDescent="0.3">
      <c r="B19" s="46">
        <v>0</v>
      </c>
      <c r="C19" s="47">
        <v>1</v>
      </c>
      <c r="D19" s="48">
        <v>0</v>
      </c>
      <c r="E19" s="27">
        <v>0</v>
      </c>
      <c r="G19" s="58"/>
      <c r="H19" s="2">
        <v>1</v>
      </c>
      <c r="I19" s="59"/>
      <c r="J19" s="2">
        <v>1</v>
      </c>
      <c r="M19" s="46">
        <v>0</v>
      </c>
      <c r="N19" s="47">
        <v>1</v>
      </c>
      <c r="O19" s="48">
        <v>0</v>
      </c>
      <c r="P19" s="27">
        <v>0</v>
      </c>
      <c r="S19" s="46">
        <v>0.5</v>
      </c>
      <c r="T19" s="47">
        <v>1</v>
      </c>
      <c r="U19" s="48">
        <v>0</v>
      </c>
      <c r="V19" s="27">
        <v>0</v>
      </c>
      <c r="Y19" s="46">
        <v>-0.5</v>
      </c>
      <c r="Z19" s="47">
        <v>1</v>
      </c>
      <c r="AA19" s="48">
        <v>0</v>
      </c>
      <c r="AB19" s="27">
        <v>0</v>
      </c>
    </row>
    <row r="20" spans="1:34" ht="13.5" thickBot="1" x14ac:dyDescent="0.35">
      <c r="B20" s="49">
        <v>0</v>
      </c>
      <c r="C20" s="50">
        <v>0</v>
      </c>
      <c r="D20" s="51">
        <v>1</v>
      </c>
      <c r="E20" s="27">
        <v>0</v>
      </c>
      <c r="G20" s="58"/>
      <c r="H20" s="2">
        <v>1</v>
      </c>
      <c r="I20" s="59"/>
      <c r="J20" s="2">
        <v>1</v>
      </c>
      <c r="M20" s="49">
        <v>0</v>
      </c>
      <c r="N20" s="50">
        <v>0</v>
      </c>
      <c r="O20" s="51">
        <v>1</v>
      </c>
      <c r="P20" s="27">
        <v>0</v>
      </c>
      <c r="S20" s="49">
        <v>0</v>
      </c>
      <c r="T20" s="50">
        <v>0</v>
      </c>
      <c r="U20" s="51">
        <v>1</v>
      </c>
      <c r="V20" s="27">
        <v>0</v>
      </c>
      <c r="Y20" s="49">
        <v>0</v>
      </c>
      <c r="Z20" s="50">
        <v>0</v>
      </c>
      <c r="AA20" s="51">
        <v>1</v>
      </c>
      <c r="AB20" s="27">
        <v>0</v>
      </c>
    </row>
    <row r="21" spans="1:34" ht="13.5" thickBot="1" x14ac:dyDescent="0.35">
      <c r="B21" s="28">
        <v>0</v>
      </c>
      <c r="C21" s="29">
        <v>0</v>
      </c>
      <c r="D21" s="29">
        <v>0</v>
      </c>
      <c r="E21" s="25">
        <v>1</v>
      </c>
      <c r="G21" s="58"/>
      <c r="H21" s="28">
        <v>0</v>
      </c>
      <c r="I21" s="59"/>
      <c r="J21" s="30">
        <v>0</v>
      </c>
      <c r="M21" s="28">
        <v>0</v>
      </c>
      <c r="N21" s="29">
        <v>0</v>
      </c>
      <c r="O21" s="29">
        <v>0</v>
      </c>
      <c r="P21" s="25">
        <v>1</v>
      </c>
      <c r="S21" s="28">
        <v>0</v>
      </c>
      <c r="T21" s="29">
        <v>0</v>
      </c>
      <c r="U21" s="29">
        <v>0</v>
      </c>
      <c r="V21" s="25">
        <v>1</v>
      </c>
      <c r="Y21" s="28">
        <v>0</v>
      </c>
      <c r="Z21" s="29">
        <v>0</v>
      </c>
      <c r="AA21" s="29">
        <v>0</v>
      </c>
      <c r="AB21" s="25">
        <v>1</v>
      </c>
    </row>
    <row r="22" spans="1:34" x14ac:dyDescent="0.3">
      <c r="D22" t="s">
        <v>3</v>
      </c>
      <c r="E22" s="3">
        <f>MDETERM(B18:E21)</f>
        <v>1</v>
      </c>
      <c r="G22" s="31" t="s">
        <v>11</v>
      </c>
      <c r="H22" s="3">
        <f>SQRT(H18*H18+H19*H19+H20*H20)</f>
        <v>1.7320508075688772</v>
      </c>
      <c r="I22" s="31" t="s">
        <v>11</v>
      </c>
      <c r="J22" s="3">
        <f>SQRT(J18*J18+J19*J19+J20*J20)</f>
        <v>1.7320508075688772</v>
      </c>
    </row>
    <row r="23" spans="1:34" s="6" customFormat="1" ht="7" customHeight="1" thickBot="1" x14ac:dyDescent="0.35">
      <c r="A23" s="42"/>
      <c r="F23" s="9"/>
      <c r="G23" s="37"/>
      <c r="I23" s="34"/>
      <c r="K23" s="9"/>
      <c r="L23" s="23"/>
      <c r="M23" s="23"/>
      <c r="N23" s="23"/>
      <c r="O23" s="23"/>
      <c r="P23" s="23"/>
      <c r="Q23" s="24"/>
      <c r="R23" s="17"/>
      <c r="S23" s="17"/>
      <c r="T23" s="17"/>
      <c r="U23" s="17"/>
      <c r="V23" s="17"/>
      <c r="W23" s="18"/>
      <c r="X23" s="17"/>
      <c r="Y23" s="17"/>
      <c r="Z23" s="17"/>
      <c r="AA23" s="17"/>
      <c r="AB23" s="17"/>
      <c r="AC23" s="18"/>
    </row>
    <row r="24" spans="1:34" s="4" customFormat="1" ht="16" thickBot="1" x14ac:dyDescent="0.4">
      <c r="A24" s="40" t="s">
        <v>5</v>
      </c>
      <c r="B24" s="53" t="s">
        <v>0</v>
      </c>
      <c r="C24" s="53"/>
      <c r="D24" s="53"/>
      <c r="E24" s="53"/>
      <c r="F24" s="8"/>
      <c r="G24" s="36"/>
      <c r="H24" s="5" t="s">
        <v>9</v>
      </c>
      <c r="I24" s="33"/>
      <c r="J24" s="5" t="s">
        <v>10</v>
      </c>
      <c r="K24" s="8"/>
      <c r="L24" s="19"/>
      <c r="M24" s="19"/>
      <c r="N24" s="19"/>
      <c r="O24" s="19"/>
      <c r="P24" s="19"/>
      <c r="Q24" s="20"/>
      <c r="R24" s="13"/>
      <c r="S24" s="13"/>
      <c r="T24" s="13"/>
      <c r="U24" s="13"/>
      <c r="V24" s="13"/>
      <c r="W24" s="14"/>
      <c r="X24" s="13"/>
      <c r="Y24" s="13"/>
      <c r="Z24" s="13"/>
      <c r="AA24" s="13"/>
      <c r="AB24" s="13"/>
      <c r="AC24" s="14"/>
    </row>
    <row r="25" spans="1:34" ht="12.5" x14ac:dyDescent="0.25">
      <c r="A25" s="41"/>
      <c r="B25" s="43">
        <v>1</v>
      </c>
      <c r="C25" s="44">
        <v>0</v>
      </c>
      <c r="D25" s="45">
        <v>0</v>
      </c>
      <c r="E25" s="26">
        <v>0</v>
      </c>
      <c r="G25" s="58" t="s">
        <v>1</v>
      </c>
      <c r="H25" s="1">
        <v>1</v>
      </c>
      <c r="I25" s="59" t="s">
        <v>2</v>
      </c>
      <c r="J25" s="1">
        <f t="array" ref="J25:J28">MMULT(B25:E28,H25:H28)</f>
        <v>1</v>
      </c>
      <c r="M25" s="43">
        <f t="array" ref="M25:P28">MINVERSE(B25:E28)</f>
        <v>1</v>
      </c>
      <c r="N25" s="44">
        <v>0</v>
      </c>
      <c r="O25" s="45">
        <v>0</v>
      </c>
      <c r="P25" s="26">
        <v>0</v>
      </c>
      <c r="S25" s="43">
        <f t="array" ref="S25:V28">MMULT(B25:E28,S18:V21)</f>
        <v>1</v>
      </c>
      <c r="T25" s="44">
        <v>0</v>
      </c>
      <c r="U25" s="45">
        <v>0</v>
      </c>
      <c r="V25" s="26">
        <v>0</v>
      </c>
      <c r="Y25" s="43">
        <f t="array" ref="Y25:AB28">MINVERSE(S25:V28)</f>
        <v>1</v>
      </c>
      <c r="Z25" s="44">
        <v>0</v>
      </c>
      <c r="AA25" s="45">
        <v>0</v>
      </c>
      <c r="AB25" s="26">
        <v>0</v>
      </c>
    </row>
    <row r="26" spans="1:34" x14ac:dyDescent="0.3">
      <c r="B26" s="46">
        <v>0</v>
      </c>
      <c r="C26" s="47">
        <v>1</v>
      </c>
      <c r="D26" s="48">
        <v>0</v>
      </c>
      <c r="E26" s="27">
        <v>0</v>
      </c>
      <c r="G26" s="58"/>
      <c r="H26" s="2">
        <v>1</v>
      </c>
      <c r="I26" s="59"/>
      <c r="J26" s="2">
        <v>1</v>
      </c>
      <c r="M26" s="46">
        <v>0</v>
      </c>
      <c r="N26" s="47">
        <v>1</v>
      </c>
      <c r="O26" s="48">
        <v>0</v>
      </c>
      <c r="P26" s="27">
        <v>0</v>
      </c>
      <c r="S26" s="46">
        <v>0.5</v>
      </c>
      <c r="T26" s="47">
        <v>1</v>
      </c>
      <c r="U26" s="48">
        <v>0</v>
      </c>
      <c r="V26" s="27">
        <v>0</v>
      </c>
      <c r="Y26" s="46">
        <v>-0.5</v>
      </c>
      <c r="Z26" s="47">
        <v>1</v>
      </c>
      <c r="AA26" s="48">
        <v>0</v>
      </c>
      <c r="AB26" s="27">
        <v>0</v>
      </c>
    </row>
    <row r="27" spans="1:34" ht="13.5" thickBot="1" x14ac:dyDescent="0.35">
      <c r="B27" s="49">
        <v>0</v>
      </c>
      <c r="C27" s="50">
        <v>0</v>
      </c>
      <c r="D27" s="51">
        <v>1</v>
      </c>
      <c r="E27" s="27">
        <v>0</v>
      </c>
      <c r="G27" s="58"/>
      <c r="H27" s="2">
        <v>1</v>
      </c>
      <c r="I27" s="59"/>
      <c r="J27" s="2">
        <v>1</v>
      </c>
      <c r="M27" s="49">
        <v>0</v>
      </c>
      <c r="N27" s="50">
        <v>0</v>
      </c>
      <c r="O27" s="51">
        <v>1</v>
      </c>
      <c r="P27" s="27">
        <v>0</v>
      </c>
      <c r="S27" s="49">
        <v>0</v>
      </c>
      <c r="T27" s="50">
        <v>0</v>
      </c>
      <c r="U27" s="51">
        <v>1</v>
      </c>
      <c r="V27" s="27">
        <v>0</v>
      </c>
      <c r="Y27" s="49">
        <v>0</v>
      </c>
      <c r="Z27" s="50">
        <v>0</v>
      </c>
      <c r="AA27" s="51">
        <v>1</v>
      </c>
      <c r="AB27" s="27">
        <v>0</v>
      </c>
    </row>
    <row r="28" spans="1:34" ht="13.5" thickBot="1" x14ac:dyDescent="0.35">
      <c r="B28" s="28">
        <v>0</v>
      </c>
      <c r="C28" s="29">
        <v>0</v>
      </c>
      <c r="D28" s="29">
        <v>0</v>
      </c>
      <c r="E28" s="25">
        <v>1</v>
      </c>
      <c r="G28" s="58"/>
      <c r="H28" s="28">
        <v>0</v>
      </c>
      <c r="I28" s="59"/>
      <c r="J28" s="30">
        <v>0</v>
      </c>
      <c r="M28" s="28">
        <v>0</v>
      </c>
      <c r="N28" s="29">
        <v>0</v>
      </c>
      <c r="O28" s="29">
        <v>0</v>
      </c>
      <c r="P28" s="25">
        <v>1</v>
      </c>
      <c r="S28" s="28">
        <v>0</v>
      </c>
      <c r="T28" s="29">
        <v>0</v>
      </c>
      <c r="U28" s="29">
        <v>0</v>
      </c>
      <c r="V28" s="25">
        <v>1</v>
      </c>
      <c r="Y28" s="28">
        <v>0</v>
      </c>
      <c r="Z28" s="29">
        <v>0</v>
      </c>
      <c r="AA28" s="29">
        <v>0</v>
      </c>
      <c r="AB28" s="25">
        <v>1</v>
      </c>
    </row>
    <row r="29" spans="1:34" x14ac:dyDescent="0.3">
      <c r="D29" t="s">
        <v>3</v>
      </c>
      <c r="E29" s="3">
        <f>MDETERM(B25:E28)</f>
        <v>1</v>
      </c>
      <c r="G29" s="31" t="s">
        <v>11</v>
      </c>
      <c r="H29" s="3">
        <f>SQRT(H25*H25+H26*H26+H27*H27)</f>
        <v>1.7320508075688772</v>
      </c>
      <c r="I29" s="31" t="s">
        <v>11</v>
      </c>
      <c r="J29" s="3">
        <f>SQRT(J25*J25+J26*J26+J27*J27)</f>
        <v>1.7320508075688772</v>
      </c>
    </row>
    <row r="30" spans="1:34" s="6" customFormat="1" ht="7" customHeight="1" thickBot="1" x14ac:dyDescent="0.35">
      <c r="A30" s="42"/>
      <c r="F30" s="9"/>
      <c r="G30" s="37"/>
      <c r="I30" s="34"/>
      <c r="K30" s="9"/>
      <c r="L30" s="23"/>
      <c r="M30" s="23"/>
      <c r="N30" s="23"/>
      <c r="O30" s="23"/>
      <c r="P30" s="23"/>
      <c r="Q30" s="24"/>
      <c r="R30" s="17"/>
      <c r="S30" s="17"/>
      <c r="T30" s="17"/>
      <c r="U30" s="17"/>
      <c r="V30" s="17"/>
      <c r="W30" s="18"/>
      <c r="X30" s="17"/>
      <c r="Y30" s="17"/>
      <c r="Z30" s="17"/>
      <c r="AA30" s="17"/>
      <c r="AB30" s="17"/>
      <c r="AC30" s="18"/>
    </row>
  </sheetData>
  <mergeCells count="14">
    <mergeCell ref="G25:G28"/>
    <mergeCell ref="I25:I28"/>
    <mergeCell ref="L2:Q2"/>
    <mergeCell ref="B2:E2"/>
    <mergeCell ref="B3:E3"/>
    <mergeCell ref="B10:E10"/>
    <mergeCell ref="G11:G14"/>
    <mergeCell ref="I11:I14"/>
    <mergeCell ref="B17:E17"/>
    <mergeCell ref="G18:G21"/>
    <mergeCell ref="I18:I21"/>
    <mergeCell ref="G4:G7"/>
    <mergeCell ref="I4:I7"/>
    <mergeCell ref="B24:E24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A518-83EF-4BBC-8981-E95573FAC6D2}">
  <dimension ref="A2:AH30"/>
  <sheetViews>
    <sheetView workbookViewId="0">
      <selection activeCell="A36" sqref="A36"/>
    </sheetView>
  </sheetViews>
  <sheetFormatPr defaultRowHeight="13" x14ac:dyDescent="0.3"/>
  <cols>
    <col min="1" max="1" width="9.1796875" style="39" customWidth="1"/>
    <col min="2" max="5" width="4.7265625" customWidth="1"/>
    <col min="6" max="6" width="2.7265625" style="7" customWidth="1"/>
    <col min="7" max="7" width="2.7265625" style="38" customWidth="1"/>
    <col min="8" max="8" width="4.7265625" customWidth="1"/>
    <col min="9" max="9" width="2.7265625" style="35" customWidth="1"/>
    <col min="10" max="10" width="6" customWidth="1"/>
    <col min="11" max="11" width="2.7265625" style="7" customWidth="1"/>
    <col min="12" max="12" width="2.7265625" style="21" customWidth="1"/>
    <col min="13" max="16" width="4.7265625" style="21" customWidth="1"/>
    <col min="17" max="17" width="2.7265625" style="22" customWidth="1"/>
    <col min="18" max="22" width="4.7265625" style="15" customWidth="1"/>
    <col min="23" max="23" width="4.7265625" style="16" customWidth="1"/>
    <col min="24" max="28" width="4.7265625" style="15" customWidth="1"/>
    <col min="29" max="29" width="4.81640625" style="16" customWidth="1"/>
  </cols>
  <sheetData>
    <row r="2" spans="1:29" s="3" customFormat="1" ht="13.5" thickBot="1" x14ac:dyDescent="0.35">
      <c r="A2" s="39"/>
      <c r="B2" s="54" t="s">
        <v>8</v>
      </c>
      <c r="C2" s="54"/>
      <c r="D2" s="54"/>
      <c r="E2" s="54"/>
      <c r="F2" s="10"/>
      <c r="H2" s="3" t="s">
        <v>12</v>
      </c>
      <c r="I2" s="32"/>
      <c r="K2" s="10"/>
      <c r="L2" s="55" t="s">
        <v>6</v>
      </c>
      <c r="M2" s="56"/>
      <c r="N2" s="56"/>
      <c r="O2" s="56"/>
      <c r="P2" s="56"/>
      <c r="Q2" s="57"/>
      <c r="R2" s="11"/>
      <c r="S2" s="11" t="s">
        <v>4</v>
      </c>
      <c r="T2" s="11"/>
      <c r="U2" s="11"/>
      <c r="V2" s="11"/>
      <c r="W2" s="12"/>
      <c r="X2" s="11" t="s">
        <v>7</v>
      </c>
      <c r="Y2" s="11"/>
      <c r="Z2" s="11"/>
      <c r="AA2" s="11"/>
      <c r="AB2" s="11"/>
      <c r="AC2" s="12"/>
    </row>
    <row r="3" spans="1:29" s="4" customFormat="1" ht="16" thickBot="1" x14ac:dyDescent="0.4">
      <c r="A3" s="40" t="s">
        <v>13</v>
      </c>
      <c r="B3" s="53" t="s">
        <v>0</v>
      </c>
      <c r="C3" s="53"/>
      <c r="D3" s="53"/>
      <c r="E3" s="53"/>
      <c r="F3" s="8"/>
      <c r="G3" s="36"/>
      <c r="H3" s="5" t="s">
        <v>9</v>
      </c>
      <c r="I3" s="33"/>
      <c r="J3" s="5" t="s">
        <v>10</v>
      </c>
      <c r="K3" s="8"/>
      <c r="L3" s="19"/>
      <c r="M3" s="19"/>
      <c r="N3" s="19"/>
      <c r="O3" s="19"/>
      <c r="P3" s="19"/>
      <c r="Q3" s="20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4"/>
    </row>
    <row r="4" spans="1:29" ht="13.5" thickBot="1" x14ac:dyDescent="0.35">
      <c r="A4" s="39" t="s">
        <v>14</v>
      </c>
      <c r="B4" s="43">
        <f>COS(RADIANS(A5))</f>
        <v>0.70710678118654757</v>
      </c>
      <c r="C4" s="44">
        <f>-SIN(RADIANS(A5))</f>
        <v>-0.70710678118654746</v>
      </c>
      <c r="D4" s="45">
        <v>0</v>
      </c>
      <c r="E4" s="26">
        <v>0</v>
      </c>
      <c r="G4" s="58" t="s">
        <v>1</v>
      </c>
      <c r="H4" s="1">
        <v>1</v>
      </c>
      <c r="I4" s="59" t="s">
        <v>2</v>
      </c>
      <c r="J4" s="1">
        <f t="array" ref="J4:J7">MMULT(B4:E7,H4:H7)</f>
        <v>1.1102230246251565E-16</v>
      </c>
      <c r="M4" s="43">
        <f t="array" ref="M4:P7">MINVERSE(B4:E7)</f>
        <v>0.70710678118654768</v>
      </c>
      <c r="N4" s="44">
        <v>0.70710678118654746</v>
      </c>
      <c r="O4" s="45">
        <v>0</v>
      </c>
      <c r="P4" s="26">
        <v>0</v>
      </c>
    </row>
    <row r="5" spans="1:29" ht="13.5" thickBot="1" x14ac:dyDescent="0.35">
      <c r="A5" s="52">
        <v>45</v>
      </c>
      <c r="B5" s="46">
        <f>SIN(RADIANS(A5))</f>
        <v>0.70710678118654746</v>
      </c>
      <c r="C5" s="47">
        <f>COS(RADIANS(A5))</f>
        <v>0.70710678118654757</v>
      </c>
      <c r="D5" s="48">
        <v>0</v>
      </c>
      <c r="E5" s="27">
        <v>0</v>
      </c>
      <c r="G5" s="58"/>
      <c r="H5" s="2">
        <v>1</v>
      </c>
      <c r="I5" s="59"/>
      <c r="J5" s="2">
        <v>1.4142135623730949</v>
      </c>
      <c r="M5" s="46">
        <v>-0.70710678118654746</v>
      </c>
      <c r="N5" s="47">
        <v>0.70710678118654757</v>
      </c>
      <c r="O5" s="48">
        <v>0</v>
      </c>
      <c r="P5" s="27">
        <v>0</v>
      </c>
    </row>
    <row r="6" spans="1:29" ht="13.5" thickBot="1" x14ac:dyDescent="0.35">
      <c r="B6" s="49">
        <v>0</v>
      </c>
      <c r="C6" s="50">
        <v>0</v>
      </c>
      <c r="D6" s="51">
        <v>1</v>
      </c>
      <c r="E6" s="27">
        <v>0</v>
      </c>
      <c r="G6" s="58"/>
      <c r="H6" s="2">
        <v>1</v>
      </c>
      <c r="I6" s="59"/>
      <c r="J6" s="2">
        <v>1</v>
      </c>
      <c r="M6" s="49">
        <v>0</v>
      </c>
      <c r="N6" s="50">
        <v>0</v>
      </c>
      <c r="O6" s="51">
        <v>1</v>
      </c>
      <c r="P6" s="27">
        <v>0</v>
      </c>
    </row>
    <row r="7" spans="1:29" ht="13.5" thickBot="1" x14ac:dyDescent="0.35">
      <c r="B7" s="28">
        <v>0</v>
      </c>
      <c r="C7" s="29">
        <v>0</v>
      </c>
      <c r="D7" s="29">
        <v>0</v>
      </c>
      <c r="E7" s="25">
        <v>1</v>
      </c>
      <c r="G7" s="58"/>
      <c r="H7" s="28">
        <v>0</v>
      </c>
      <c r="I7" s="59"/>
      <c r="J7" s="30">
        <v>0</v>
      </c>
      <c r="M7" s="28">
        <v>0</v>
      </c>
      <c r="N7" s="29">
        <v>0</v>
      </c>
      <c r="O7" s="29">
        <v>0</v>
      </c>
      <c r="P7" s="25">
        <v>1</v>
      </c>
    </row>
    <row r="8" spans="1:29" x14ac:dyDescent="0.3">
      <c r="D8" t="s">
        <v>3</v>
      </c>
      <c r="E8" s="3">
        <f>MDETERM(B4:E7)</f>
        <v>1</v>
      </c>
      <c r="G8" s="31" t="s">
        <v>11</v>
      </c>
      <c r="H8" s="3">
        <f>SQRT(H4*H4+H5*H5+H6*H6)</f>
        <v>1.7320508075688772</v>
      </c>
      <c r="I8" s="31" t="s">
        <v>11</v>
      </c>
      <c r="J8" s="3">
        <f>SQRT(J4*J4+J5*J5+J6*J6)</f>
        <v>1.7320508075688772</v>
      </c>
    </row>
    <row r="9" spans="1:29" ht="7" customHeight="1" thickBot="1" x14ac:dyDescent="0.35">
      <c r="I9" s="32"/>
    </row>
    <row r="10" spans="1:29" s="4" customFormat="1" ht="16" thickBot="1" x14ac:dyDescent="0.4">
      <c r="A10" s="40" t="s">
        <v>13</v>
      </c>
      <c r="B10" s="53" t="s">
        <v>0</v>
      </c>
      <c r="C10" s="53"/>
      <c r="D10" s="53"/>
      <c r="E10" s="53"/>
      <c r="F10" s="8"/>
      <c r="G10" s="36"/>
      <c r="H10" s="5" t="s">
        <v>9</v>
      </c>
      <c r="I10" s="33"/>
      <c r="J10" s="5" t="s">
        <v>10</v>
      </c>
      <c r="K10" s="8"/>
      <c r="L10" s="19"/>
      <c r="M10" s="19"/>
      <c r="N10" s="19"/>
      <c r="O10" s="19"/>
      <c r="P10" s="19"/>
      <c r="Q10" s="20"/>
      <c r="R10" s="13"/>
      <c r="S10" s="13"/>
      <c r="T10" s="13"/>
      <c r="U10" s="13"/>
      <c r="V10" s="13"/>
      <c r="W10" s="14"/>
      <c r="X10" s="13"/>
      <c r="Y10" s="13"/>
      <c r="Z10" s="13"/>
      <c r="AA10" s="13"/>
      <c r="AB10" s="13"/>
      <c r="AC10" s="14"/>
    </row>
    <row r="11" spans="1:29" ht="13.5" thickBot="1" x14ac:dyDescent="0.35">
      <c r="A11" s="39" t="s">
        <v>15</v>
      </c>
      <c r="B11" s="43">
        <v>1</v>
      </c>
      <c r="C11" s="44">
        <v>0</v>
      </c>
      <c r="D11" s="45">
        <v>0</v>
      </c>
      <c r="E11" s="26">
        <v>0</v>
      </c>
      <c r="G11" s="58" t="s">
        <v>1</v>
      </c>
      <c r="H11" s="1">
        <v>1</v>
      </c>
      <c r="I11" s="59" t="s">
        <v>2</v>
      </c>
      <c r="J11" s="1">
        <f t="array" ref="J11:J14">MMULT(B11:E14,H11:H14)</f>
        <v>1</v>
      </c>
      <c r="M11" s="43">
        <f t="array" ref="M11:P14">MINVERSE(B11:E14)</f>
        <v>1</v>
      </c>
      <c r="N11" s="44">
        <v>0</v>
      </c>
      <c r="O11" s="45">
        <v>0</v>
      </c>
      <c r="P11" s="26">
        <v>0</v>
      </c>
      <c r="S11" s="43">
        <f t="array" ref="S11:V14">MMULT(B11:E14,B4:E7)</f>
        <v>0.70710678118654757</v>
      </c>
      <c r="T11" s="44">
        <v>-0.70710678118654746</v>
      </c>
      <c r="U11" s="45">
        <v>0</v>
      </c>
      <c r="V11" s="26">
        <v>0</v>
      </c>
      <c r="Y11" s="43">
        <f t="array" ref="Y11:AB14">MINVERSE(S11:V14)</f>
        <v>0.70710678118654768</v>
      </c>
      <c r="Z11" s="44">
        <v>0.5</v>
      </c>
      <c r="AA11" s="45">
        <v>0.49999999999999994</v>
      </c>
      <c r="AB11" s="26">
        <v>0</v>
      </c>
    </row>
    <row r="12" spans="1:29" ht="13.5" thickBot="1" x14ac:dyDescent="0.35">
      <c r="A12" s="52">
        <v>45</v>
      </c>
      <c r="B12" s="46">
        <v>0</v>
      </c>
      <c r="C12" s="47">
        <f>COS(RADIANS(A12))</f>
        <v>0.70710678118654757</v>
      </c>
      <c r="D12" s="48">
        <f>-SIN(RADIANS(A12))</f>
        <v>-0.70710678118654746</v>
      </c>
      <c r="E12" s="27">
        <v>0</v>
      </c>
      <c r="G12" s="58"/>
      <c r="H12" s="2">
        <v>1</v>
      </c>
      <c r="I12" s="59"/>
      <c r="J12" s="2">
        <v>1.1102230246251565E-16</v>
      </c>
      <c r="M12" s="46">
        <v>0</v>
      </c>
      <c r="N12" s="47">
        <v>0.70710678118654768</v>
      </c>
      <c r="O12" s="48">
        <v>0.70710678118654746</v>
      </c>
      <c r="P12" s="27">
        <v>0</v>
      </c>
      <c r="S12" s="46">
        <v>0.5</v>
      </c>
      <c r="T12" s="47">
        <v>0.50000000000000011</v>
      </c>
      <c r="U12" s="48">
        <v>-0.70710678118654746</v>
      </c>
      <c r="V12" s="27">
        <v>0</v>
      </c>
      <c r="Y12" s="46">
        <v>-0.70710678118654746</v>
      </c>
      <c r="Z12" s="47">
        <v>0.50000000000000011</v>
      </c>
      <c r="AA12" s="48">
        <v>0.5</v>
      </c>
      <c r="AB12" s="27">
        <v>0</v>
      </c>
    </row>
    <row r="13" spans="1:29" ht="13.5" thickBot="1" x14ac:dyDescent="0.35">
      <c r="B13" s="49">
        <v>0</v>
      </c>
      <c r="C13" s="50">
        <f>SIN(RADIANS(A12))</f>
        <v>0.70710678118654746</v>
      </c>
      <c r="D13" s="51">
        <f>COS(RADIANS(A12))</f>
        <v>0.70710678118654757</v>
      </c>
      <c r="E13" s="27">
        <v>0</v>
      </c>
      <c r="G13" s="58"/>
      <c r="H13" s="2">
        <v>1</v>
      </c>
      <c r="I13" s="59"/>
      <c r="J13" s="2">
        <v>1.4142135623730949</v>
      </c>
      <c r="M13" s="49">
        <v>0</v>
      </c>
      <c r="N13" s="50">
        <v>-0.70710678118654746</v>
      </c>
      <c r="O13" s="51">
        <v>0.70710678118654757</v>
      </c>
      <c r="P13" s="27">
        <v>0</v>
      </c>
      <c r="S13" s="49">
        <v>0.49999999999999989</v>
      </c>
      <c r="T13" s="50">
        <v>0.5</v>
      </c>
      <c r="U13" s="51">
        <v>0.70710678118654757</v>
      </c>
      <c r="V13" s="27">
        <v>0</v>
      </c>
      <c r="Y13" s="49">
        <v>0</v>
      </c>
      <c r="Z13" s="50">
        <v>-0.70710678118654746</v>
      </c>
      <c r="AA13" s="51">
        <v>0.70710678118654757</v>
      </c>
      <c r="AB13" s="27">
        <v>0</v>
      </c>
    </row>
    <row r="14" spans="1:29" ht="13.5" thickBot="1" x14ac:dyDescent="0.35">
      <c r="B14" s="28">
        <v>0</v>
      </c>
      <c r="C14" s="29">
        <v>0</v>
      </c>
      <c r="D14" s="29">
        <v>0</v>
      </c>
      <c r="E14" s="25">
        <v>1</v>
      </c>
      <c r="G14" s="58"/>
      <c r="H14" s="28">
        <v>0</v>
      </c>
      <c r="I14" s="59"/>
      <c r="J14" s="30">
        <v>0</v>
      </c>
      <c r="M14" s="28">
        <v>0</v>
      </c>
      <c r="N14" s="29">
        <v>0</v>
      </c>
      <c r="O14" s="29">
        <v>0</v>
      </c>
      <c r="P14" s="25">
        <v>1</v>
      </c>
      <c r="S14" s="28">
        <v>0</v>
      </c>
      <c r="T14" s="29">
        <v>0</v>
      </c>
      <c r="U14" s="29">
        <v>0</v>
      </c>
      <c r="V14" s="25">
        <v>1</v>
      </c>
      <c r="Y14" s="28">
        <v>0</v>
      </c>
      <c r="Z14" s="29">
        <v>0</v>
      </c>
      <c r="AA14" s="29">
        <v>0</v>
      </c>
      <c r="AB14" s="25">
        <v>1</v>
      </c>
    </row>
    <row r="15" spans="1:29" x14ac:dyDescent="0.3">
      <c r="D15" t="s">
        <v>3</v>
      </c>
      <c r="E15" s="3">
        <f>MDETERM(B11:E14)</f>
        <v>1</v>
      </c>
      <c r="G15" s="31" t="s">
        <v>11</v>
      </c>
      <c r="H15" s="3">
        <f>SQRT(H11*H11+H12*H12+H13*H13)</f>
        <v>1.7320508075688772</v>
      </c>
      <c r="I15" s="31" t="s">
        <v>11</v>
      </c>
      <c r="J15" s="3">
        <f>SQRT(J11*J11+J12*J12+J13*J13)</f>
        <v>1.7320508075688772</v>
      </c>
    </row>
    <row r="16" spans="1:29" s="6" customFormat="1" ht="7" customHeight="1" thickBot="1" x14ac:dyDescent="0.35">
      <c r="A16" s="42"/>
      <c r="F16" s="9"/>
      <c r="G16" s="37"/>
      <c r="I16" s="34"/>
      <c r="K16" s="9"/>
      <c r="L16" s="23"/>
      <c r="M16" s="23"/>
      <c r="N16" s="23"/>
      <c r="O16" s="23"/>
      <c r="P16" s="23"/>
      <c r="Q16" s="24"/>
      <c r="R16" s="17"/>
      <c r="S16" s="17"/>
      <c r="T16" s="17"/>
      <c r="U16" s="17"/>
      <c r="V16" s="17"/>
      <c r="W16" s="18"/>
      <c r="X16" s="17"/>
      <c r="Y16" s="17"/>
      <c r="Z16" s="17"/>
      <c r="AA16" s="17"/>
      <c r="AB16" s="17"/>
      <c r="AC16" s="18"/>
    </row>
    <row r="17" spans="1:34" s="4" customFormat="1" ht="16" thickBot="1" x14ac:dyDescent="0.4">
      <c r="A17" s="40" t="s">
        <v>13</v>
      </c>
      <c r="B17" s="53" t="s">
        <v>0</v>
      </c>
      <c r="C17" s="53"/>
      <c r="D17" s="53"/>
      <c r="E17" s="53"/>
      <c r="F17" s="8"/>
      <c r="G17" s="36"/>
      <c r="H17" s="5" t="s">
        <v>9</v>
      </c>
      <c r="I17" s="33"/>
      <c r="J17" s="5" t="s">
        <v>10</v>
      </c>
      <c r="K17" s="8"/>
      <c r="L17" s="19"/>
      <c r="M17" s="19"/>
      <c r="N17" s="19"/>
      <c r="O17" s="19"/>
      <c r="P17" s="19"/>
      <c r="Q17" s="20"/>
      <c r="R17" s="13"/>
      <c r="S17" s="13"/>
      <c r="T17" s="13"/>
      <c r="U17" s="13"/>
      <c r="V17" s="13"/>
      <c r="W17" s="14"/>
      <c r="X17" s="13"/>
      <c r="Y17" s="13"/>
      <c r="Z17" s="13"/>
      <c r="AA17" s="13"/>
      <c r="AB17" s="13"/>
      <c r="AC17" s="14"/>
    </row>
    <row r="18" spans="1:34" ht="13.5" thickBot="1" x14ac:dyDescent="0.35">
      <c r="A18" s="39" t="s">
        <v>16</v>
      </c>
      <c r="B18" s="43">
        <f>COS(RADIANS(A19))</f>
        <v>0.70710678118654757</v>
      </c>
      <c r="C18">
        <v>0</v>
      </c>
      <c r="D18" s="44">
        <f>-SIN(RADIANS(A19))</f>
        <v>-0.70710678118654746</v>
      </c>
      <c r="E18" s="26">
        <v>0</v>
      </c>
      <c r="G18" s="58" t="s">
        <v>1</v>
      </c>
      <c r="H18" s="1">
        <v>1</v>
      </c>
      <c r="I18" s="59" t="s">
        <v>2</v>
      </c>
      <c r="J18" s="1">
        <f t="array" ref="J18:J21">MMULT(B18:E21,H18:H21)</f>
        <v>1.1102230246251565E-16</v>
      </c>
      <c r="M18" s="43">
        <f t="array" ref="M18:P21">MINVERSE(B18:E21)</f>
        <v>0.70710678118654768</v>
      </c>
      <c r="N18" s="44">
        <v>0</v>
      </c>
      <c r="O18" s="45">
        <v>0.70710678118654746</v>
      </c>
      <c r="P18" s="26">
        <v>0</v>
      </c>
      <c r="S18" s="43">
        <f t="array" ref="S18:V21">MMULT(B18:E21,S11:V14)</f>
        <v>0.14644660940672644</v>
      </c>
      <c r="T18" s="44">
        <v>-0.85355339059327373</v>
      </c>
      <c r="U18" s="45">
        <v>-0.5</v>
      </c>
      <c r="V18" s="26">
        <v>0</v>
      </c>
      <c r="Y18" s="43">
        <f t="array" ref="Y18:AB21">MINVERSE(S18:V21)</f>
        <v>0.14644660940672644</v>
      </c>
      <c r="Z18" s="44">
        <v>0.5</v>
      </c>
      <c r="AA18" s="45">
        <v>0.85355339059327373</v>
      </c>
      <c r="AB18" s="26">
        <v>0</v>
      </c>
      <c r="AH18" s="3"/>
    </row>
    <row r="19" spans="1:34" ht="13.5" thickBot="1" x14ac:dyDescent="0.35">
      <c r="A19" s="52">
        <v>45</v>
      </c>
      <c r="B19">
        <v>0</v>
      </c>
      <c r="C19">
        <v>1</v>
      </c>
      <c r="D19" s="48">
        <v>0</v>
      </c>
      <c r="E19" s="27">
        <v>0</v>
      </c>
      <c r="G19" s="58"/>
      <c r="H19" s="2">
        <v>1</v>
      </c>
      <c r="I19" s="59"/>
      <c r="J19" s="2">
        <v>1</v>
      </c>
      <c r="M19" s="46">
        <v>0</v>
      </c>
      <c r="N19" s="47">
        <v>1</v>
      </c>
      <c r="O19" s="48">
        <v>0</v>
      </c>
      <c r="P19" s="27">
        <v>0</v>
      </c>
      <c r="S19" s="46">
        <v>0.5</v>
      </c>
      <c r="T19" s="47">
        <v>0.50000000000000011</v>
      </c>
      <c r="U19" s="48">
        <v>-0.70710678118654746</v>
      </c>
      <c r="V19" s="27">
        <v>0</v>
      </c>
      <c r="Y19" s="46">
        <v>-0.85355339059327373</v>
      </c>
      <c r="Z19" s="47">
        <v>0.50000000000000011</v>
      </c>
      <c r="AA19" s="48">
        <v>-0.14644660940672607</v>
      </c>
      <c r="AB19" s="27">
        <v>0</v>
      </c>
    </row>
    <row r="20" spans="1:34" ht="13.5" thickBot="1" x14ac:dyDescent="0.35">
      <c r="B20" s="46">
        <f>SIN(RADIANS(A19))</f>
        <v>0.70710678118654746</v>
      </c>
      <c r="C20" s="50">
        <v>0</v>
      </c>
      <c r="D20" s="47">
        <f>COS(RADIANS(A19))</f>
        <v>0.70710678118654757</v>
      </c>
      <c r="E20" s="27">
        <v>0</v>
      </c>
      <c r="G20" s="58"/>
      <c r="H20" s="2">
        <v>1</v>
      </c>
      <c r="I20" s="59"/>
      <c r="J20" s="2">
        <v>1.4142135623730949</v>
      </c>
      <c r="M20" s="49">
        <v>-0.70710678118654746</v>
      </c>
      <c r="N20" s="50">
        <v>0</v>
      </c>
      <c r="O20" s="51">
        <v>0.70710678118654757</v>
      </c>
      <c r="P20" s="27">
        <v>0</v>
      </c>
      <c r="S20" s="49">
        <v>0.85355339059327373</v>
      </c>
      <c r="T20" s="50">
        <v>-0.1464466094067261</v>
      </c>
      <c r="U20" s="51">
        <v>0.50000000000000011</v>
      </c>
      <c r="V20" s="27">
        <v>0</v>
      </c>
      <c r="Y20" s="49">
        <v>-0.5</v>
      </c>
      <c r="Z20" s="50">
        <v>-0.70710678118654746</v>
      </c>
      <c r="AA20" s="51">
        <v>0.50000000000000011</v>
      </c>
      <c r="AB20" s="27">
        <v>0</v>
      </c>
    </row>
    <row r="21" spans="1:34" ht="13.5" thickBot="1" x14ac:dyDescent="0.35">
      <c r="B21" s="28">
        <v>0</v>
      </c>
      <c r="C21" s="29">
        <v>0</v>
      </c>
      <c r="D21" s="29">
        <v>0</v>
      </c>
      <c r="E21" s="25">
        <v>1</v>
      </c>
      <c r="G21" s="58"/>
      <c r="H21" s="28">
        <v>0</v>
      </c>
      <c r="I21" s="59"/>
      <c r="J21" s="30">
        <v>0</v>
      </c>
      <c r="M21" s="28">
        <v>0</v>
      </c>
      <c r="N21" s="29">
        <v>0</v>
      </c>
      <c r="O21" s="29">
        <v>0</v>
      </c>
      <c r="P21" s="25">
        <v>1</v>
      </c>
      <c r="S21" s="28">
        <v>0</v>
      </c>
      <c r="T21" s="29">
        <v>0</v>
      </c>
      <c r="U21" s="29">
        <v>0</v>
      </c>
      <c r="V21" s="25">
        <v>1</v>
      </c>
      <c r="Y21" s="28">
        <v>0</v>
      </c>
      <c r="Z21" s="29">
        <v>0</v>
      </c>
      <c r="AA21" s="29">
        <v>0</v>
      </c>
      <c r="AB21" s="25">
        <v>1</v>
      </c>
    </row>
    <row r="22" spans="1:34" x14ac:dyDescent="0.3">
      <c r="D22" t="s">
        <v>3</v>
      </c>
      <c r="E22" s="3">
        <f>MDETERM(B18:E21)</f>
        <v>1</v>
      </c>
      <c r="G22" s="31" t="s">
        <v>11</v>
      </c>
      <c r="H22" s="3">
        <f>SQRT(H18*H18+H19*H19+H20*H20)</f>
        <v>1.7320508075688772</v>
      </c>
      <c r="I22" s="31" t="s">
        <v>11</v>
      </c>
      <c r="J22" s="3">
        <f>SQRT(J18*J18+J19*J19+J20*J20)</f>
        <v>1.7320508075688772</v>
      </c>
    </row>
    <row r="23" spans="1:34" s="6" customFormat="1" ht="7" customHeight="1" thickBot="1" x14ac:dyDescent="0.35">
      <c r="A23" s="42"/>
      <c r="F23" s="9"/>
      <c r="G23" s="37"/>
      <c r="I23" s="34"/>
      <c r="K23" s="9"/>
      <c r="L23" s="23"/>
      <c r="M23" s="23"/>
      <c r="N23" s="23"/>
      <c r="O23" s="23"/>
      <c r="P23" s="23"/>
      <c r="Q23" s="24"/>
      <c r="R23" s="17"/>
      <c r="S23" s="17"/>
      <c r="T23" s="17"/>
      <c r="U23" s="17"/>
      <c r="V23" s="17"/>
      <c r="W23" s="18"/>
      <c r="X23" s="17"/>
      <c r="Y23" s="17"/>
      <c r="Z23" s="17"/>
      <c r="AA23" s="17"/>
      <c r="AB23" s="17"/>
      <c r="AC23" s="18"/>
    </row>
    <row r="24" spans="1:34" s="4" customFormat="1" ht="16" thickBot="1" x14ac:dyDescent="0.4">
      <c r="A24" s="40" t="s">
        <v>5</v>
      </c>
      <c r="B24" s="53" t="s">
        <v>0</v>
      </c>
      <c r="C24" s="53"/>
      <c r="D24" s="53"/>
      <c r="E24" s="53"/>
      <c r="F24" s="8"/>
      <c r="G24" s="36"/>
      <c r="H24" s="5" t="s">
        <v>9</v>
      </c>
      <c r="I24" s="33"/>
      <c r="J24" s="5" t="s">
        <v>10</v>
      </c>
      <c r="K24" s="8"/>
      <c r="L24" s="19"/>
      <c r="M24" s="19"/>
      <c r="N24" s="19"/>
      <c r="O24" s="19"/>
      <c r="P24" s="19"/>
      <c r="Q24" s="20"/>
      <c r="R24" s="13"/>
      <c r="S24" s="13"/>
      <c r="T24" s="13"/>
      <c r="U24" s="13"/>
      <c r="V24" s="13"/>
      <c r="W24" s="14"/>
      <c r="X24" s="13"/>
      <c r="Y24" s="13"/>
      <c r="Z24" s="13"/>
      <c r="AA24" s="13"/>
      <c r="AB24" s="13"/>
      <c r="AC24" s="14"/>
    </row>
    <row r="25" spans="1:34" ht="12.5" x14ac:dyDescent="0.25">
      <c r="A25" s="41"/>
      <c r="B25" s="43">
        <v>1</v>
      </c>
      <c r="C25" s="44">
        <v>0</v>
      </c>
      <c r="D25" s="45">
        <v>0</v>
      </c>
      <c r="E25" s="26">
        <v>0</v>
      </c>
      <c r="G25" s="58" t="s">
        <v>1</v>
      </c>
      <c r="H25" s="1">
        <v>1</v>
      </c>
      <c r="I25" s="59" t="s">
        <v>2</v>
      </c>
      <c r="J25" s="1">
        <f t="array" ref="J25:J28">MMULT(B25:E28,H25:H28)</f>
        <v>1</v>
      </c>
      <c r="M25" s="43">
        <f t="array" ref="M25:P28">MINVERSE(B25:E28)</f>
        <v>1</v>
      </c>
      <c r="N25" s="44">
        <v>0</v>
      </c>
      <c r="O25" s="45">
        <v>0</v>
      </c>
      <c r="P25" s="26">
        <v>0</v>
      </c>
      <c r="S25" s="43">
        <f t="array" ref="S25:V28">MMULT(B25:E28,S18:V21)</f>
        <v>0.14644660940672644</v>
      </c>
      <c r="T25" s="44">
        <v>-0.85355339059327373</v>
      </c>
      <c r="U25" s="45">
        <v>-0.5</v>
      </c>
      <c r="V25" s="26">
        <v>0</v>
      </c>
      <c r="Y25" s="43">
        <f t="array" ref="Y25:AB28">MINVERSE(S25:V28)</f>
        <v>0.14644660940672644</v>
      </c>
      <c r="Z25" s="44">
        <v>0.5</v>
      </c>
      <c r="AA25" s="45">
        <v>0.85355339059327373</v>
      </c>
      <c r="AB25" s="26">
        <v>0</v>
      </c>
    </row>
    <row r="26" spans="1:34" x14ac:dyDescent="0.3">
      <c r="B26" s="46">
        <v>0</v>
      </c>
      <c r="C26" s="47">
        <v>1</v>
      </c>
      <c r="D26" s="48">
        <v>0</v>
      </c>
      <c r="E26" s="27">
        <v>0</v>
      </c>
      <c r="G26" s="58"/>
      <c r="H26" s="2">
        <v>1</v>
      </c>
      <c r="I26" s="59"/>
      <c r="J26" s="2">
        <v>1</v>
      </c>
      <c r="M26" s="46">
        <v>0</v>
      </c>
      <c r="N26" s="47">
        <v>1</v>
      </c>
      <c r="O26" s="48">
        <v>0</v>
      </c>
      <c r="P26" s="27">
        <v>0</v>
      </c>
      <c r="S26" s="46">
        <v>0.5</v>
      </c>
      <c r="T26" s="47">
        <v>0.50000000000000011</v>
      </c>
      <c r="U26" s="48">
        <v>-0.70710678118654746</v>
      </c>
      <c r="V26" s="27">
        <v>0</v>
      </c>
      <c r="Y26" s="46">
        <v>-0.85355339059327373</v>
      </c>
      <c r="Z26" s="47">
        <v>0.50000000000000011</v>
      </c>
      <c r="AA26" s="48">
        <v>-0.14644660940672607</v>
      </c>
      <c r="AB26" s="27">
        <v>0</v>
      </c>
    </row>
    <row r="27" spans="1:34" ht="13.5" thickBot="1" x14ac:dyDescent="0.35">
      <c r="B27" s="49">
        <v>0</v>
      </c>
      <c r="C27" s="50">
        <v>0</v>
      </c>
      <c r="D27" s="51">
        <v>1</v>
      </c>
      <c r="E27" s="27">
        <v>0</v>
      </c>
      <c r="G27" s="58"/>
      <c r="H27" s="2">
        <v>1</v>
      </c>
      <c r="I27" s="59"/>
      <c r="J27" s="2">
        <v>1</v>
      </c>
      <c r="M27" s="49">
        <v>0</v>
      </c>
      <c r="N27" s="50">
        <v>0</v>
      </c>
      <c r="O27" s="51">
        <v>1</v>
      </c>
      <c r="P27" s="27">
        <v>0</v>
      </c>
      <c r="S27" s="49">
        <v>0.85355339059327373</v>
      </c>
      <c r="T27" s="50">
        <v>-0.1464466094067261</v>
      </c>
      <c r="U27" s="51">
        <v>0.50000000000000011</v>
      </c>
      <c r="V27" s="27">
        <v>0</v>
      </c>
      <c r="Y27" s="49">
        <v>-0.5</v>
      </c>
      <c r="Z27" s="50">
        <v>-0.70710678118654746</v>
      </c>
      <c r="AA27" s="51">
        <v>0.50000000000000011</v>
      </c>
      <c r="AB27" s="27">
        <v>0</v>
      </c>
    </row>
    <row r="28" spans="1:34" ht="13.5" thickBot="1" x14ac:dyDescent="0.35">
      <c r="B28" s="28">
        <v>0</v>
      </c>
      <c r="C28" s="29">
        <v>0</v>
      </c>
      <c r="D28" s="29">
        <v>0</v>
      </c>
      <c r="E28" s="25">
        <v>1</v>
      </c>
      <c r="G28" s="58"/>
      <c r="H28" s="28">
        <v>0</v>
      </c>
      <c r="I28" s="59"/>
      <c r="J28" s="30">
        <v>0</v>
      </c>
      <c r="M28" s="28">
        <v>0</v>
      </c>
      <c r="N28" s="29">
        <v>0</v>
      </c>
      <c r="O28" s="29">
        <v>0</v>
      </c>
      <c r="P28" s="25">
        <v>1</v>
      </c>
      <c r="S28" s="28">
        <v>0</v>
      </c>
      <c r="T28" s="29">
        <v>0</v>
      </c>
      <c r="U28" s="29">
        <v>0</v>
      </c>
      <c r="V28" s="25">
        <v>1</v>
      </c>
      <c r="Y28" s="28">
        <v>0</v>
      </c>
      <c r="Z28" s="29">
        <v>0</v>
      </c>
      <c r="AA28" s="29">
        <v>0</v>
      </c>
      <c r="AB28" s="25">
        <v>1</v>
      </c>
    </row>
    <row r="29" spans="1:34" x14ac:dyDescent="0.3">
      <c r="D29" t="s">
        <v>3</v>
      </c>
      <c r="E29" s="3">
        <f>MDETERM(B25:E28)</f>
        <v>1</v>
      </c>
      <c r="G29" s="31" t="s">
        <v>11</v>
      </c>
      <c r="H29" s="3">
        <f>SQRT(H25*H25+H26*H26+H27*H27)</f>
        <v>1.7320508075688772</v>
      </c>
      <c r="I29" s="31" t="s">
        <v>11</v>
      </c>
      <c r="J29" s="3">
        <f>SQRT(J25*J25+J26*J26+J27*J27)</f>
        <v>1.7320508075688772</v>
      </c>
    </row>
    <row r="30" spans="1:34" s="6" customFormat="1" ht="7" customHeight="1" thickBot="1" x14ac:dyDescent="0.35">
      <c r="A30" s="42"/>
      <c r="F30" s="9"/>
      <c r="G30" s="37"/>
      <c r="I30" s="34"/>
      <c r="K30" s="9"/>
      <c r="L30" s="23"/>
      <c r="M30" s="23"/>
      <c r="N30" s="23"/>
      <c r="O30" s="23"/>
      <c r="P30" s="23"/>
      <c r="Q30" s="24"/>
      <c r="R30" s="17"/>
      <c r="S30" s="17"/>
      <c r="T30" s="17"/>
      <c r="U30" s="17"/>
      <c r="V30" s="17"/>
      <c r="W30" s="18"/>
      <c r="X30" s="17"/>
      <c r="Y30" s="17"/>
      <c r="Z30" s="17"/>
      <c r="AA30" s="17"/>
      <c r="AB30" s="17"/>
      <c r="AC30" s="18"/>
    </row>
  </sheetData>
  <mergeCells count="14">
    <mergeCell ref="G25:G28"/>
    <mergeCell ref="I25:I28"/>
    <mergeCell ref="G11:G14"/>
    <mergeCell ref="I11:I14"/>
    <mergeCell ref="B17:E17"/>
    <mergeCell ref="G18:G21"/>
    <mergeCell ref="I18:I21"/>
    <mergeCell ref="B24:E24"/>
    <mergeCell ref="B10:E10"/>
    <mergeCell ref="B2:E2"/>
    <mergeCell ref="L2:Q2"/>
    <mergeCell ref="B3:E3"/>
    <mergeCell ref="G4:G7"/>
    <mergeCell ref="I4:I7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D2A1-BC21-422C-8B9A-909D44F3A027}">
  <dimension ref="A2:AC30"/>
  <sheetViews>
    <sheetView workbookViewId="0">
      <selection activeCell="B4" sqref="B4:E7"/>
    </sheetView>
  </sheetViews>
  <sheetFormatPr defaultRowHeight="13" x14ac:dyDescent="0.3"/>
  <cols>
    <col min="1" max="1" width="9.1796875" style="39" customWidth="1"/>
    <col min="2" max="5" width="4.7265625" customWidth="1"/>
    <col min="6" max="6" width="2.7265625" style="7" customWidth="1"/>
    <col min="7" max="7" width="2.7265625" style="38" customWidth="1"/>
    <col min="8" max="8" width="4.7265625" customWidth="1"/>
    <col min="9" max="9" width="2.7265625" style="35" customWidth="1"/>
    <col min="10" max="10" width="6" customWidth="1"/>
    <col min="11" max="11" width="2.7265625" style="7" customWidth="1"/>
    <col min="12" max="12" width="2.7265625" style="21" customWidth="1"/>
    <col min="13" max="16" width="4.7265625" style="21" customWidth="1"/>
    <col min="17" max="17" width="2.7265625" style="22" customWidth="1"/>
    <col min="18" max="22" width="4.7265625" style="15" customWidth="1"/>
    <col min="23" max="23" width="4.7265625" style="16" customWidth="1"/>
    <col min="24" max="28" width="4.7265625" style="15" customWidth="1"/>
    <col min="29" max="29" width="4.81640625" style="16" customWidth="1"/>
  </cols>
  <sheetData>
    <row r="2" spans="1:29" ht="13.5" thickBot="1" x14ac:dyDescent="0.35">
      <c r="B2" s="54" t="s">
        <v>8</v>
      </c>
      <c r="C2" s="54"/>
      <c r="D2" s="54"/>
      <c r="E2" s="54"/>
      <c r="F2" s="10"/>
      <c r="G2" s="3"/>
      <c r="H2" s="3" t="s">
        <v>12</v>
      </c>
      <c r="I2" s="32"/>
      <c r="J2" s="3"/>
      <c r="K2" s="10"/>
      <c r="L2" s="55" t="s">
        <v>6</v>
      </c>
      <c r="M2" s="56"/>
      <c r="N2" s="56"/>
      <c r="O2" s="56"/>
      <c r="P2" s="56"/>
      <c r="Q2" s="57"/>
      <c r="R2" s="11"/>
      <c r="S2" s="11" t="s">
        <v>4</v>
      </c>
      <c r="T2" s="11"/>
      <c r="U2" s="11"/>
      <c r="V2" s="11"/>
      <c r="W2" s="12"/>
      <c r="X2" s="11" t="s">
        <v>7</v>
      </c>
      <c r="Y2" s="11"/>
      <c r="Z2" s="11"/>
      <c r="AA2" s="11"/>
      <c r="AB2" s="11"/>
      <c r="AC2" s="12"/>
    </row>
    <row r="3" spans="1:29" ht="16" thickBot="1" x14ac:dyDescent="0.4">
      <c r="A3" s="40" t="s">
        <v>5</v>
      </c>
      <c r="B3" s="53" t="s">
        <v>0</v>
      </c>
      <c r="C3" s="53"/>
      <c r="D3" s="53"/>
      <c r="E3" s="53"/>
      <c r="F3" s="8"/>
      <c r="G3" s="36"/>
      <c r="H3" s="5" t="s">
        <v>9</v>
      </c>
      <c r="I3" s="33"/>
      <c r="J3" s="5" t="s">
        <v>10</v>
      </c>
      <c r="K3" s="8"/>
      <c r="L3" s="19"/>
      <c r="M3" s="19"/>
      <c r="N3" s="19"/>
      <c r="O3" s="19"/>
      <c r="P3" s="19"/>
      <c r="Q3" s="20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4"/>
    </row>
    <row r="4" spans="1:29" x14ac:dyDescent="0.3">
      <c r="B4" s="43">
        <v>1</v>
      </c>
      <c r="C4" s="44">
        <v>0</v>
      </c>
      <c r="D4" s="45">
        <v>0</v>
      </c>
      <c r="E4" s="26">
        <v>0</v>
      </c>
      <c r="G4" s="58" t="s">
        <v>1</v>
      </c>
      <c r="H4" s="1">
        <v>1</v>
      </c>
      <c r="I4" s="59" t="s">
        <v>2</v>
      </c>
      <c r="J4" s="1">
        <f t="array" ref="J4:J7">MMULT(B4:E7,H4:H7)</f>
        <v>1</v>
      </c>
      <c r="M4" s="43" t="e">
        <f t="array" ref="M4:P7">MINVERSE(B4:E7)</f>
        <v>#NUM!</v>
      </c>
      <c r="N4" s="44" t="e">
        <v>#NUM!</v>
      </c>
      <c r="O4" s="45" t="e">
        <v>#NUM!</v>
      </c>
      <c r="P4" s="26" t="e">
        <v>#NUM!</v>
      </c>
    </row>
    <row r="5" spans="1:29" x14ac:dyDescent="0.3">
      <c r="B5" s="46">
        <v>0</v>
      </c>
      <c r="C5" s="47">
        <v>1</v>
      </c>
      <c r="D5" s="48">
        <v>0</v>
      </c>
      <c r="E5" s="27">
        <v>0</v>
      </c>
      <c r="G5" s="58"/>
      <c r="H5" s="2">
        <v>1</v>
      </c>
      <c r="I5" s="59"/>
      <c r="J5" s="2">
        <v>1</v>
      </c>
      <c r="M5" s="46" t="e">
        <v>#NUM!</v>
      </c>
      <c r="N5" s="47" t="e">
        <v>#NUM!</v>
      </c>
      <c r="O5" s="48" t="e">
        <v>#NUM!</v>
      </c>
      <c r="P5" s="27" t="e">
        <v>#NUM!</v>
      </c>
    </row>
    <row r="6" spans="1:29" ht="13.5" thickBot="1" x14ac:dyDescent="0.35">
      <c r="B6" s="49">
        <v>0</v>
      </c>
      <c r="C6" s="50">
        <v>0</v>
      </c>
      <c r="D6" s="51">
        <v>1</v>
      </c>
      <c r="E6" s="27">
        <v>0</v>
      </c>
      <c r="G6" s="58"/>
      <c r="H6" s="2">
        <v>1</v>
      </c>
      <c r="I6" s="59"/>
      <c r="J6" s="2">
        <v>1</v>
      </c>
      <c r="M6" s="49" t="e">
        <v>#NUM!</v>
      </c>
      <c r="N6" s="50" t="e">
        <v>#NUM!</v>
      </c>
      <c r="O6" s="51" t="e">
        <v>#NUM!</v>
      </c>
      <c r="P6" s="27" t="e">
        <v>#NUM!</v>
      </c>
    </row>
    <row r="7" spans="1:29" ht="13.5" thickBot="1" x14ac:dyDescent="0.35">
      <c r="B7" s="28">
        <v>0</v>
      </c>
      <c r="C7" s="29">
        <v>0</v>
      </c>
      <c r="D7" s="29">
        <v>0.5</v>
      </c>
      <c r="E7" s="25">
        <v>0</v>
      </c>
      <c r="G7" s="58"/>
      <c r="H7" s="28">
        <v>0</v>
      </c>
      <c r="I7" s="59"/>
      <c r="J7" s="30">
        <v>0.5</v>
      </c>
      <c r="M7" s="28" t="e">
        <v>#NUM!</v>
      </c>
      <c r="N7" s="29" t="e">
        <v>#NUM!</v>
      </c>
      <c r="O7" s="29" t="e">
        <v>#NUM!</v>
      </c>
      <c r="P7" s="25" t="e">
        <v>#NUM!</v>
      </c>
    </row>
    <row r="8" spans="1:29" x14ac:dyDescent="0.3">
      <c r="D8" t="s">
        <v>3</v>
      </c>
      <c r="E8" s="3">
        <f>MDETERM(B4:E7)</f>
        <v>0</v>
      </c>
      <c r="G8" s="31" t="s">
        <v>11</v>
      </c>
      <c r="H8" s="3">
        <f>SQRT(H4*H4+H5*H5+H6*H6)</f>
        <v>1.7320508075688772</v>
      </c>
      <c r="I8" s="31" t="s">
        <v>11</v>
      </c>
      <c r="J8" s="3">
        <f>SQRT(J4*J4+J5*J5+J6*J6)</f>
        <v>1.7320508075688772</v>
      </c>
    </row>
    <row r="9" spans="1:29" ht="13.5" thickBot="1" x14ac:dyDescent="0.35">
      <c r="I9" s="32"/>
    </row>
    <row r="10" spans="1:29" ht="16" thickBot="1" x14ac:dyDescent="0.4">
      <c r="A10" s="40" t="s">
        <v>5</v>
      </c>
      <c r="B10" s="53" t="s">
        <v>0</v>
      </c>
      <c r="C10" s="53"/>
      <c r="D10" s="53"/>
      <c r="E10" s="53"/>
      <c r="F10" s="8"/>
      <c r="G10" s="36"/>
      <c r="H10" s="5" t="s">
        <v>9</v>
      </c>
      <c r="I10" s="33"/>
      <c r="J10" s="5" t="s">
        <v>10</v>
      </c>
      <c r="K10" s="8"/>
      <c r="L10" s="19"/>
      <c r="M10" s="19"/>
      <c r="N10" s="19"/>
      <c r="O10" s="19"/>
      <c r="P10" s="19"/>
      <c r="Q10" s="20"/>
      <c r="R10" s="13"/>
      <c r="S10" s="13"/>
      <c r="T10" s="13"/>
      <c r="U10" s="13"/>
      <c r="V10" s="13"/>
      <c r="W10" s="14"/>
      <c r="X10" s="13"/>
      <c r="Y10" s="13"/>
      <c r="Z10" s="13"/>
      <c r="AA10" s="13"/>
      <c r="AB10" s="13"/>
      <c r="AC10" s="14"/>
    </row>
    <row r="11" spans="1:29" x14ac:dyDescent="0.3">
      <c r="B11" s="43">
        <v>1</v>
      </c>
      <c r="C11" s="44">
        <v>0</v>
      </c>
      <c r="D11" s="45">
        <v>0</v>
      </c>
      <c r="E11" s="26">
        <v>0</v>
      </c>
      <c r="G11" s="58" t="s">
        <v>1</v>
      </c>
      <c r="H11" s="1">
        <v>1</v>
      </c>
      <c r="I11" s="59" t="s">
        <v>2</v>
      </c>
      <c r="J11" s="1">
        <f t="array" ref="J11:J14">MMULT(B11:E14,H11:H14)</f>
        <v>1</v>
      </c>
      <c r="M11" s="43">
        <f t="array" ref="M11:P14">MINVERSE(B11:E14)</f>
        <v>1</v>
      </c>
      <c r="N11" s="44">
        <v>0</v>
      </c>
      <c r="O11" s="45">
        <v>0</v>
      </c>
      <c r="P11" s="26">
        <v>0</v>
      </c>
      <c r="S11" s="43">
        <f t="array" ref="S11:V14">MMULT(B11:E14,B4:E7)</f>
        <v>1</v>
      </c>
      <c r="T11" s="44">
        <v>0</v>
      </c>
      <c r="U11" s="45">
        <v>0</v>
      </c>
      <c r="V11" s="26">
        <v>0</v>
      </c>
      <c r="Y11" s="43" t="e">
        <f t="array" ref="Y11:AB14">MINVERSE(S11:V14)</f>
        <v>#NUM!</v>
      </c>
      <c r="Z11" s="44" t="e">
        <v>#NUM!</v>
      </c>
      <c r="AA11" s="45" t="e">
        <v>#NUM!</v>
      </c>
      <c r="AB11" s="26" t="e">
        <v>#NUM!</v>
      </c>
    </row>
    <row r="12" spans="1:29" x14ac:dyDescent="0.3">
      <c r="B12" s="46">
        <v>0</v>
      </c>
      <c r="C12" s="47">
        <v>1</v>
      </c>
      <c r="D12" s="48">
        <v>0</v>
      </c>
      <c r="E12" s="27">
        <v>0</v>
      </c>
      <c r="G12" s="58"/>
      <c r="H12" s="2">
        <v>1</v>
      </c>
      <c r="I12" s="59"/>
      <c r="J12" s="2">
        <v>1</v>
      </c>
      <c r="M12" s="46">
        <v>0</v>
      </c>
      <c r="N12" s="47">
        <v>1</v>
      </c>
      <c r="O12" s="48">
        <v>0</v>
      </c>
      <c r="P12" s="27">
        <v>0</v>
      </c>
      <c r="S12" s="46">
        <v>0</v>
      </c>
      <c r="T12" s="47">
        <v>1</v>
      </c>
      <c r="U12" s="48">
        <v>0</v>
      </c>
      <c r="V12" s="27">
        <v>0</v>
      </c>
      <c r="Y12" s="46" t="e">
        <v>#NUM!</v>
      </c>
      <c r="Z12" s="47" t="e">
        <v>#NUM!</v>
      </c>
      <c r="AA12" s="48" t="e">
        <v>#NUM!</v>
      </c>
      <c r="AB12" s="27" t="e">
        <v>#NUM!</v>
      </c>
    </row>
    <row r="13" spans="1:29" ht="13.5" thickBot="1" x14ac:dyDescent="0.35">
      <c r="B13" s="49">
        <v>0</v>
      </c>
      <c r="C13" s="50">
        <v>0</v>
      </c>
      <c r="D13" s="51">
        <v>1</v>
      </c>
      <c r="E13" s="27">
        <v>0</v>
      </c>
      <c r="G13" s="58"/>
      <c r="H13" s="2">
        <v>1</v>
      </c>
      <c r="I13" s="59"/>
      <c r="J13" s="2">
        <v>1</v>
      </c>
      <c r="M13" s="49">
        <v>0</v>
      </c>
      <c r="N13" s="50">
        <v>0</v>
      </c>
      <c r="O13" s="51">
        <v>1</v>
      </c>
      <c r="P13" s="27">
        <v>0</v>
      </c>
      <c r="S13" s="49">
        <v>0</v>
      </c>
      <c r="T13" s="50">
        <v>0</v>
      </c>
      <c r="U13" s="51">
        <v>1</v>
      </c>
      <c r="V13" s="27">
        <v>0</v>
      </c>
      <c r="Y13" s="49" t="e">
        <v>#NUM!</v>
      </c>
      <c r="Z13" s="50" t="e">
        <v>#NUM!</v>
      </c>
      <c r="AA13" s="51" t="e">
        <v>#NUM!</v>
      </c>
      <c r="AB13" s="27" t="e">
        <v>#NUM!</v>
      </c>
    </row>
    <row r="14" spans="1:29" ht="13.5" thickBot="1" x14ac:dyDescent="0.35">
      <c r="B14" s="28">
        <v>0</v>
      </c>
      <c r="C14" s="29">
        <v>0</v>
      </c>
      <c r="D14" s="29">
        <v>0</v>
      </c>
      <c r="E14" s="25">
        <v>1</v>
      </c>
      <c r="G14" s="58"/>
      <c r="H14" s="28">
        <v>0</v>
      </c>
      <c r="I14" s="59"/>
      <c r="J14" s="30">
        <v>0</v>
      </c>
      <c r="M14" s="28">
        <v>0</v>
      </c>
      <c r="N14" s="29">
        <v>0</v>
      </c>
      <c r="O14" s="29">
        <v>0</v>
      </c>
      <c r="P14" s="25">
        <v>1</v>
      </c>
      <c r="S14" s="28">
        <v>0</v>
      </c>
      <c r="T14" s="29">
        <v>0</v>
      </c>
      <c r="U14" s="29">
        <v>0.5</v>
      </c>
      <c r="V14" s="25">
        <v>0</v>
      </c>
      <c r="Y14" s="28" t="e">
        <v>#NUM!</v>
      </c>
      <c r="Z14" s="29" t="e">
        <v>#NUM!</v>
      </c>
      <c r="AA14" s="29" t="e">
        <v>#NUM!</v>
      </c>
      <c r="AB14" s="25" t="e">
        <v>#NUM!</v>
      </c>
    </row>
    <row r="15" spans="1:29" x14ac:dyDescent="0.3">
      <c r="D15" t="s">
        <v>3</v>
      </c>
      <c r="E15" s="3">
        <f>MDETERM(B11:E14)</f>
        <v>1</v>
      </c>
      <c r="G15" s="31" t="s">
        <v>11</v>
      </c>
      <c r="H15" s="3">
        <f>SQRT(H11*H11+H12*H12+H13*H13)</f>
        <v>1.7320508075688772</v>
      </c>
      <c r="I15" s="31" t="s">
        <v>11</v>
      </c>
      <c r="J15" s="3">
        <f>SQRT(J11*J11+J12*J12+J13*J13)</f>
        <v>1.7320508075688772</v>
      </c>
    </row>
    <row r="16" spans="1:29" ht="13.5" thickBot="1" x14ac:dyDescent="0.35">
      <c r="A16" s="42"/>
      <c r="B16" s="6"/>
      <c r="C16" s="6"/>
      <c r="D16" s="6"/>
      <c r="E16" s="6"/>
      <c r="F16" s="9"/>
      <c r="G16" s="37"/>
      <c r="H16" s="6"/>
      <c r="I16" s="34"/>
      <c r="J16" s="6"/>
      <c r="K16" s="9"/>
      <c r="L16" s="23"/>
      <c r="M16" s="23"/>
      <c r="N16" s="23"/>
      <c r="O16" s="23"/>
      <c r="P16" s="23"/>
      <c r="Q16" s="24"/>
      <c r="R16" s="17"/>
      <c r="S16" s="17"/>
      <c r="T16" s="17"/>
      <c r="U16" s="17"/>
      <c r="V16" s="17"/>
      <c r="W16" s="18"/>
      <c r="X16" s="17"/>
      <c r="Y16" s="17"/>
      <c r="Z16" s="17"/>
      <c r="AA16" s="17"/>
      <c r="AB16" s="17"/>
      <c r="AC16" s="18"/>
    </row>
    <row r="17" spans="1:29" ht="16" thickBot="1" x14ac:dyDescent="0.4">
      <c r="A17" s="40" t="s">
        <v>5</v>
      </c>
      <c r="B17" s="53" t="s">
        <v>0</v>
      </c>
      <c r="C17" s="53"/>
      <c r="D17" s="53"/>
      <c r="E17" s="53"/>
      <c r="F17" s="8"/>
      <c r="G17" s="36"/>
      <c r="H17" s="5" t="s">
        <v>9</v>
      </c>
      <c r="I17" s="33"/>
      <c r="J17" s="5" t="s">
        <v>10</v>
      </c>
      <c r="K17" s="8"/>
      <c r="L17" s="19"/>
      <c r="M17" s="19"/>
      <c r="N17" s="19"/>
      <c r="O17" s="19"/>
      <c r="P17" s="19"/>
      <c r="Q17" s="20"/>
      <c r="R17" s="13"/>
      <c r="S17" s="13"/>
      <c r="T17" s="13"/>
      <c r="U17" s="13"/>
      <c r="V17" s="13"/>
      <c r="W17" s="14"/>
      <c r="X17" s="13"/>
      <c r="Y17" s="13"/>
      <c r="Z17" s="13"/>
      <c r="AA17" s="13"/>
      <c r="AB17" s="13"/>
      <c r="AC17" s="14"/>
    </row>
    <row r="18" spans="1:29" x14ac:dyDescent="0.3">
      <c r="B18" s="43">
        <v>1</v>
      </c>
      <c r="C18" s="44">
        <v>0</v>
      </c>
      <c r="D18" s="45">
        <v>0</v>
      </c>
      <c r="E18" s="26">
        <v>0</v>
      </c>
      <c r="G18" s="58" t="s">
        <v>1</v>
      </c>
      <c r="H18" s="1">
        <v>1</v>
      </c>
      <c r="I18" s="59" t="s">
        <v>2</v>
      </c>
      <c r="J18" s="1">
        <f t="array" ref="J18:J21">MMULT(B18:E21,H18:H21)</f>
        <v>1</v>
      </c>
      <c r="M18" s="43">
        <f t="array" ref="M18:P21">MINVERSE(B18:E21)</f>
        <v>1</v>
      </c>
      <c r="N18" s="44">
        <v>0</v>
      </c>
      <c r="O18" s="45">
        <v>0</v>
      </c>
      <c r="P18" s="26">
        <v>0</v>
      </c>
      <c r="S18" s="43">
        <f t="array" ref="S18:V21">MMULT(B18:E21,S11:V14)</f>
        <v>1</v>
      </c>
      <c r="T18" s="44">
        <v>0</v>
      </c>
      <c r="U18" s="45">
        <v>0</v>
      </c>
      <c r="V18" s="26">
        <v>0</v>
      </c>
      <c r="Y18" s="43" t="e">
        <f t="array" ref="Y18:AB21">MINVERSE(S18:V21)</f>
        <v>#NUM!</v>
      </c>
      <c r="Z18" s="44" t="e">
        <v>#NUM!</v>
      </c>
      <c r="AA18" s="45" t="e">
        <v>#NUM!</v>
      </c>
      <c r="AB18" s="26" t="e">
        <v>#NUM!</v>
      </c>
    </row>
    <row r="19" spans="1:29" x14ac:dyDescent="0.3">
      <c r="B19" s="46">
        <v>0</v>
      </c>
      <c r="C19" s="47">
        <v>1</v>
      </c>
      <c r="D19" s="48">
        <v>0</v>
      </c>
      <c r="E19" s="27">
        <v>0</v>
      </c>
      <c r="G19" s="58"/>
      <c r="H19" s="2">
        <v>1</v>
      </c>
      <c r="I19" s="59"/>
      <c r="J19" s="2">
        <v>1</v>
      </c>
      <c r="M19" s="46">
        <v>0</v>
      </c>
      <c r="N19" s="47">
        <v>1</v>
      </c>
      <c r="O19" s="48">
        <v>0</v>
      </c>
      <c r="P19" s="27">
        <v>0</v>
      </c>
      <c r="S19" s="46">
        <v>0</v>
      </c>
      <c r="T19" s="47">
        <v>1</v>
      </c>
      <c r="U19" s="48">
        <v>0</v>
      </c>
      <c r="V19" s="27">
        <v>0</v>
      </c>
      <c r="Y19" s="46" t="e">
        <v>#NUM!</v>
      </c>
      <c r="Z19" s="47" t="e">
        <v>#NUM!</v>
      </c>
      <c r="AA19" s="48" t="e">
        <v>#NUM!</v>
      </c>
      <c r="AB19" s="27" t="e">
        <v>#NUM!</v>
      </c>
    </row>
    <row r="20" spans="1:29" ht="13.5" thickBot="1" x14ac:dyDescent="0.35">
      <c r="B20" s="49">
        <v>0</v>
      </c>
      <c r="C20" s="50">
        <v>0</v>
      </c>
      <c r="D20" s="51">
        <v>1</v>
      </c>
      <c r="E20" s="27">
        <v>0</v>
      </c>
      <c r="G20" s="58"/>
      <c r="H20" s="2">
        <v>1</v>
      </c>
      <c r="I20" s="59"/>
      <c r="J20" s="2">
        <v>1</v>
      </c>
      <c r="M20" s="49">
        <v>0</v>
      </c>
      <c r="N20" s="50">
        <v>0</v>
      </c>
      <c r="O20" s="51">
        <v>1</v>
      </c>
      <c r="P20" s="27">
        <v>0</v>
      </c>
      <c r="S20" s="49">
        <v>0</v>
      </c>
      <c r="T20" s="50">
        <v>0</v>
      </c>
      <c r="U20" s="51">
        <v>1</v>
      </c>
      <c r="V20" s="27">
        <v>0</v>
      </c>
      <c r="Y20" s="49" t="e">
        <v>#NUM!</v>
      </c>
      <c r="Z20" s="50" t="e">
        <v>#NUM!</v>
      </c>
      <c r="AA20" s="51" t="e">
        <v>#NUM!</v>
      </c>
      <c r="AB20" s="27" t="e">
        <v>#NUM!</v>
      </c>
    </row>
    <row r="21" spans="1:29" ht="13.5" thickBot="1" x14ac:dyDescent="0.35">
      <c r="B21" s="28">
        <v>0</v>
      </c>
      <c r="C21" s="29">
        <v>0</v>
      </c>
      <c r="D21" s="29">
        <v>0</v>
      </c>
      <c r="E21" s="25">
        <v>1</v>
      </c>
      <c r="G21" s="58"/>
      <c r="H21" s="28">
        <v>0</v>
      </c>
      <c r="I21" s="59"/>
      <c r="J21" s="30">
        <v>0</v>
      </c>
      <c r="M21" s="28">
        <v>0</v>
      </c>
      <c r="N21" s="29">
        <v>0</v>
      </c>
      <c r="O21" s="29">
        <v>0</v>
      </c>
      <c r="P21" s="25">
        <v>1</v>
      </c>
      <c r="S21" s="28">
        <v>0</v>
      </c>
      <c r="T21" s="29">
        <v>0</v>
      </c>
      <c r="U21" s="29">
        <v>0.5</v>
      </c>
      <c r="V21" s="25">
        <v>0</v>
      </c>
      <c r="Y21" s="28" t="e">
        <v>#NUM!</v>
      </c>
      <c r="Z21" s="29" t="e">
        <v>#NUM!</v>
      </c>
      <c r="AA21" s="29" t="e">
        <v>#NUM!</v>
      </c>
      <c r="AB21" s="25" t="e">
        <v>#NUM!</v>
      </c>
    </row>
    <row r="22" spans="1:29" x14ac:dyDescent="0.3">
      <c r="D22" t="s">
        <v>3</v>
      </c>
      <c r="E22" s="3">
        <f>MDETERM(B18:E21)</f>
        <v>1</v>
      </c>
      <c r="G22" s="31" t="s">
        <v>11</v>
      </c>
      <c r="H22" s="3">
        <f>SQRT(H18*H18+H19*H19+H20*H20)</f>
        <v>1.7320508075688772</v>
      </c>
      <c r="I22" s="31" t="s">
        <v>11</v>
      </c>
      <c r="J22" s="3">
        <f>SQRT(J18*J18+J19*J19+J20*J20)</f>
        <v>1.7320508075688772</v>
      </c>
    </row>
    <row r="23" spans="1:29" ht="13.5" thickBot="1" x14ac:dyDescent="0.35">
      <c r="A23" s="42"/>
      <c r="B23" s="6"/>
      <c r="C23" s="6"/>
      <c r="D23" s="6"/>
      <c r="E23" s="6"/>
      <c r="F23" s="9"/>
      <c r="G23" s="37"/>
      <c r="H23" s="6"/>
      <c r="I23" s="34"/>
      <c r="J23" s="6"/>
      <c r="K23" s="9"/>
      <c r="L23" s="23"/>
      <c r="M23" s="23"/>
      <c r="N23" s="23"/>
      <c r="O23" s="23"/>
      <c r="P23" s="23"/>
      <c r="Q23" s="24"/>
      <c r="R23" s="17"/>
      <c r="S23" s="17"/>
      <c r="T23" s="17"/>
      <c r="U23" s="17"/>
      <c r="V23" s="17"/>
      <c r="W23" s="18"/>
      <c r="X23" s="17"/>
      <c r="Y23" s="17"/>
      <c r="Z23" s="17"/>
      <c r="AA23" s="17"/>
      <c r="AB23" s="17"/>
      <c r="AC23" s="18"/>
    </row>
    <row r="24" spans="1:29" ht="16" thickBot="1" x14ac:dyDescent="0.4">
      <c r="A24" s="40" t="s">
        <v>5</v>
      </c>
      <c r="B24" s="53" t="s">
        <v>0</v>
      </c>
      <c r="C24" s="53"/>
      <c r="D24" s="53"/>
      <c r="E24" s="53"/>
      <c r="F24" s="8"/>
      <c r="G24" s="36"/>
      <c r="H24" s="5" t="s">
        <v>9</v>
      </c>
      <c r="I24" s="33"/>
      <c r="J24" s="5" t="s">
        <v>10</v>
      </c>
      <c r="K24" s="8"/>
      <c r="L24" s="19"/>
      <c r="M24" s="19"/>
      <c r="N24" s="19"/>
      <c r="O24" s="19"/>
      <c r="P24" s="19"/>
      <c r="Q24" s="20"/>
      <c r="R24" s="13"/>
      <c r="S24" s="13"/>
      <c r="T24" s="13"/>
      <c r="U24" s="13"/>
      <c r="V24" s="13"/>
      <c r="W24" s="14"/>
      <c r="X24" s="13"/>
      <c r="Y24" s="13"/>
      <c r="Z24" s="13"/>
      <c r="AA24" s="13"/>
      <c r="AB24" s="13"/>
      <c r="AC24" s="14"/>
    </row>
    <row r="25" spans="1:29" ht="12.5" x14ac:dyDescent="0.25">
      <c r="A25" s="41"/>
      <c r="B25" s="43">
        <v>1</v>
      </c>
      <c r="C25" s="44">
        <v>0</v>
      </c>
      <c r="D25" s="45">
        <v>0</v>
      </c>
      <c r="E25" s="26">
        <v>0</v>
      </c>
      <c r="G25" s="58" t="s">
        <v>1</v>
      </c>
      <c r="H25" s="1">
        <v>1</v>
      </c>
      <c r="I25" s="59" t="s">
        <v>2</v>
      </c>
      <c r="J25" s="1">
        <f t="array" ref="J25:J28">MMULT(B25:E28,H25:H28)</f>
        <v>1</v>
      </c>
      <c r="M25" s="43">
        <f t="array" ref="M25:P28">MINVERSE(B25:E28)</f>
        <v>1</v>
      </c>
      <c r="N25" s="44">
        <v>0</v>
      </c>
      <c r="O25" s="45">
        <v>0</v>
      </c>
      <c r="P25" s="26">
        <v>0</v>
      </c>
      <c r="S25" s="43">
        <f t="array" ref="S25:V28">MMULT(B25:E28,S18:V21)</f>
        <v>1</v>
      </c>
      <c r="T25" s="44">
        <v>0</v>
      </c>
      <c r="U25" s="45">
        <v>0</v>
      </c>
      <c r="V25" s="26">
        <v>0</v>
      </c>
      <c r="Y25" s="43" t="e">
        <f t="array" ref="Y25:AB28">MINVERSE(S25:V28)</f>
        <v>#NUM!</v>
      </c>
      <c r="Z25" s="44" t="e">
        <v>#NUM!</v>
      </c>
      <c r="AA25" s="45" t="e">
        <v>#NUM!</v>
      </c>
      <c r="AB25" s="26" t="e">
        <v>#NUM!</v>
      </c>
    </row>
    <row r="26" spans="1:29" x14ac:dyDescent="0.3">
      <c r="B26" s="46">
        <v>0</v>
      </c>
      <c r="C26" s="47">
        <v>1</v>
      </c>
      <c r="D26" s="48">
        <v>0</v>
      </c>
      <c r="E26" s="27">
        <v>0</v>
      </c>
      <c r="G26" s="58"/>
      <c r="H26" s="2">
        <v>1</v>
      </c>
      <c r="I26" s="59"/>
      <c r="J26" s="2">
        <v>1</v>
      </c>
      <c r="M26" s="46">
        <v>0</v>
      </c>
      <c r="N26" s="47">
        <v>1</v>
      </c>
      <c r="O26" s="48">
        <v>0</v>
      </c>
      <c r="P26" s="27">
        <v>0</v>
      </c>
      <c r="S26" s="46">
        <v>0</v>
      </c>
      <c r="T26" s="47">
        <v>1</v>
      </c>
      <c r="U26" s="48">
        <v>0</v>
      </c>
      <c r="V26" s="27">
        <v>0</v>
      </c>
      <c r="Y26" s="46" t="e">
        <v>#NUM!</v>
      </c>
      <c r="Z26" s="47" t="e">
        <v>#NUM!</v>
      </c>
      <c r="AA26" s="48" t="e">
        <v>#NUM!</v>
      </c>
      <c r="AB26" s="27" t="e">
        <v>#NUM!</v>
      </c>
    </row>
    <row r="27" spans="1:29" ht="13.5" thickBot="1" x14ac:dyDescent="0.35">
      <c r="B27" s="49">
        <v>0</v>
      </c>
      <c r="C27" s="50">
        <v>0</v>
      </c>
      <c r="D27" s="51">
        <v>1</v>
      </c>
      <c r="E27" s="27">
        <v>0</v>
      </c>
      <c r="G27" s="58"/>
      <c r="H27" s="2">
        <v>1</v>
      </c>
      <c r="I27" s="59"/>
      <c r="J27" s="2">
        <v>1</v>
      </c>
      <c r="M27" s="49">
        <v>0</v>
      </c>
      <c r="N27" s="50">
        <v>0</v>
      </c>
      <c r="O27" s="51">
        <v>1</v>
      </c>
      <c r="P27" s="27">
        <v>0</v>
      </c>
      <c r="S27" s="49">
        <v>0</v>
      </c>
      <c r="T27" s="50">
        <v>0</v>
      </c>
      <c r="U27" s="51">
        <v>1</v>
      </c>
      <c r="V27" s="27">
        <v>0</v>
      </c>
      <c r="Y27" s="49" t="e">
        <v>#NUM!</v>
      </c>
      <c r="Z27" s="50" t="e">
        <v>#NUM!</v>
      </c>
      <c r="AA27" s="51" t="e">
        <v>#NUM!</v>
      </c>
      <c r="AB27" s="27" t="e">
        <v>#NUM!</v>
      </c>
    </row>
    <row r="28" spans="1:29" ht="13.5" thickBot="1" x14ac:dyDescent="0.35">
      <c r="B28" s="28">
        <v>0</v>
      </c>
      <c r="C28" s="29">
        <v>0</v>
      </c>
      <c r="D28" s="29">
        <v>0</v>
      </c>
      <c r="E28" s="25">
        <v>1</v>
      </c>
      <c r="G28" s="58"/>
      <c r="H28" s="28">
        <v>0</v>
      </c>
      <c r="I28" s="59"/>
      <c r="J28" s="30">
        <v>0</v>
      </c>
      <c r="M28" s="28">
        <v>0</v>
      </c>
      <c r="N28" s="29">
        <v>0</v>
      </c>
      <c r="O28" s="29">
        <v>0</v>
      </c>
      <c r="P28" s="25">
        <v>1</v>
      </c>
      <c r="S28" s="28">
        <v>0</v>
      </c>
      <c r="T28" s="29">
        <v>0</v>
      </c>
      <c r="U28" s="29">
        <v>0.5</v>
      </c>
      <c r="V28" s="25">
        <v>0</v>
      </c>
      <c r="Y28" s="28" t="e">
        <v>#NUM!</v>
      </c>
      <c r="Z28" s="29" t="e">
        <v>#NUM!</v>
      </c>
      <c r="AA28" s="29" t="e">
        <v>#NUM!</v>
      </c>
      <c r="AB28" s="25" t="e">
        <v>#NUM!</v>
      </c>
    </row>
    <row r="29" spans="1:29" x14ac:dyDescent="0.3">
      <c r="D29" t="s">
        <v>3</v>
      </c>
      <c r="E29" s="3">
        <f>MDETERM(B25:E28)</f>
        <v>1</v>
      </c>
      <c r="G29" s="31" t="s">
        <v>11</v>
      </c>
      <c r="H29" s="3">
        <f>SQRT(H25*H25+H26*H26+H27*H27)</f>
        <v>1.7320508075688772</v>
      </c>
      <c r="I29" s="31" t="s">
        <v>11</v>
      </c>
      <c r="J29" s="3">
        <f>SQRT(J25*J25+J26*J26+J27*J27)</f>
        <v>1.7320508075688772</v>
      </c>
    </row>
    <row r="30" spans="1:29" ht="13.5" thickBot="1" x14ac:dyDescent="0.35">
      <c r="A30" s="42"/>
      <c r="B30" s="6"/>
      <c r="C30" s="6"/>
      <c r="D30" s="6"/>
      <c r="E30" s="6"/>
      <c r="F30" s="9"/>
      <c r="G30" s="37"/>
      <c r="H30" s="6"/>
      <c r="I30" s="34"/>
      <c r="J30" s="6"/>
      <c r="K30" s="9"/>
      <c r="L30" s="23"/>
      <c r="M30" s="23"/>
      <c r="N30" s="23"/>
      <c r="O30" s="23"/>
      <c r="P30" s="23"/>
      <c r="Q30" s="24"/>
      <c r="R30" s="17"/>
      <c r="S30" s="17"/>
      <c r="T30" s="17"/>
      <c r="U30" s="17"/>
      <c r="V30" s="17"/>
      <c r="W30" s="18"/>
      <c r="X30" s="17"/>
      <c r="Y30" s="17"/>
      <c r="Z30" s="17"/>
      <c r="AA30" s="17"/>
      <c r="AB30" s="17"/>
      <c r="AC30" s="18"/>
    </row>
  </sheetData>
  <mergeCells count="14">
    <mergeCell ref="G25:G28"/>
    <mergeCell ref="I25:I28"/>
    <mergeCell ref="G11:G14"/>
    <mergeCell ref="I11:I14"/>
    <mergeCell ref="B17:E17"/>
    <mergeCell ref="G18:G21"/>
    <mergeCell ref="I18:I21"/>
    <mergeCell ref="B24:E24"/>
    <mergeCell ref="B10:E10"/>
    <mergeCell ref="B2:E2"/>
    <mergeCell ref="L2:Q2"/>
    <mergeCell ref="B3:E3"/>
    <mergeCell ref="G4:G7"/>
    <mergeCell ref="I4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Rotations</vt:lpstr>
      <vt:lpstr>Perspective</vt:lpstr>
    </vt:vector>
  </TitlesOfParts>
  <Company>Gehry Technologies,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Administrator</dc:creator>
  <cp:lastModifiedBy>Shelden, Dennis Robert</cp:lastModifiedBy>
  <dcterms:created xsi:type="dcterms:W3CDTF">2006-01-04T19:18:52Z</dcterms:created>
  <dcterms:modified xsi:type="dcterms:W3CDTF">2026-02-10T20:10:23Z</dcterms:modified>
</cp:coreProperties>
</file>